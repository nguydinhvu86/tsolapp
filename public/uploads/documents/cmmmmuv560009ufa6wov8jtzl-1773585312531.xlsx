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PHCM\2026\TSOL\"/>
    </mc:Choice>
  </mc:AlternateContent>
  <bookViews>
    <workbookView xWindow="0" yWindow="0" windowWidth="20505" windowHeight="7665"/>
  </bookViews>
  <sheets>
    <sheet name="KIOSK thong tin" sheetId="1" r:id="rId1"/>
  </sheets>
  <definedNames>
    <definedName name="_xlnm.Print_Area" localSheetId="0">'KIOSK thong tin'!$A$1:$G$94</definedName>
  </definedNames>
  <calcPr calcId="162913"/>
</workbook>
</file>

<file path=xl/calcChain.xml><?xml version="1.0" encoding="utf-8"?>
<calcChain xmlns="http://schemas.openxmlformats.org/spreadsheetml/2006/main">
  <c r="G72" i="1" l="1"/>
  <c r="G10" i="1" l="1"/>
  <c r="G61" i="1" l="1"/>
</calcChain>
</file>

<file path=xl/sharedStrings.xml><?xml version="1.0" encoding="utf-8"?>
<sst xmlns="http://schemas.openxmlformats.org/spreadsheetml/2006/main" count="167" uniqueCount="157">
  <si>
    <t>I</t>
  </si>
  <si>
    <t>Date:</t>
  </si>
  <si>
    <t>BẢNG BÁO GIÁ (QUOTATION)</t>
  </si>
  <si>
    <t>Mọi sự thay đổi sẽ được chúng tôi gửi thông báo bằng văn bản.</t>
  </si>
  <si>
    <t>Dept.</t>
  </si>
  <si>
    <t>1)</t>
  </si>
  <si>
    <t>2)</t>
  </si>
  <si>
    <t>3)</t>
  </si>
  <si>
    <t>4)</t>
  </si>
  <si>
    <t>5)</t>
  </si>
  <si>
    <t>6)</t>
  </si>
  <si>
    <t xml:space="preserve"> </t>
  </si>
  <si>
    <t>Lầu 2, Tòa nhà Arirang</t>
  </si>
  <si>
    <t>Sales Dept.</t>
  </si>
  <si>
    <t>STT</t>
  </si>
  <si>
    <t>Sản phẩm</t>
  </si>
  <si>
    <t>Mô tả</t>
  </si>
  <si>
    <t>ĐVT</t>
  </si>
  <si>
    <t>SL</t>
  </si>
  <si>
    <t>Điều kiện và các điều khoản khác:</t>
  </si>
  <si>
    <t>Thay mặt Công ty Cổ phần ALO360</t>
  </si>
  <si>
    <t>Báo giá có giá trị trong vòng 2 tuần kể từ ngày báo giá.</t>
  </si>
  <si>
    <r>
      <rPr>
        <b/>
        <sz val="12"/>
        <color theme="1"/>
        <rFont val="Calibri"/>
        <family val="2"/>
        <scheme val="minor"/>
      </rPr>
      <t xml:space="preserve">Type: </t>
    </r>
    <r>
      <rPr>
        <sz val="12"/>
        <color theme="1"/>
        <rFont val="Calibri"/>
        <family val="2"/>
        <scheme val="minor"/>
      </rPr>
      <t>Quotation</t>
    </r>
  </si>
  <si>
    <t>Hàng hóa sẽ được cung cấp thông qua đại lý của ALO360 hoặc Công ty ALO360 tại Việt Nam</t>
  </si>
  <si>
    <t>Tel: 028 7309 9360 - 1900 63 6006</t>
  </si>
  <si>
    <t>Bộ</t>
  </si>
  <si>
    <t>Thời gian bảo hành: 12 tháng cho thiết bị  kể từ ngày bàn giao.</t>
  </si>
  <si>
    <t>Công ty Cổ phần ALO360.COM</t>
  </si>
  <si>
    <t>Thanh toán: TBC</t>
  </si>
  <si>
    <t>Màn hình</t>
  </si>
  <si>
    <t>Độ phân giải</t>
  </si>
  <si>
    <t>Độ sáng</t>
  </si>
  <si>
    <t>Chức năng cảm ứng</t>
  </si>
  <si>
    <t>Góc nhìn</t>
  </si>
  <si>
    <t>Tỷ lệ hiển thị</t>
  </si>
  <si>
    <t>16:9</t>
  </si>
  <si>
    <t>12ms</t>
  </si>
  <si>
    <t>Độ tương phản</t>
  </si>
  <si>
    <t>CPU</t>
  </si>
  <si>
    <t>Wifi</t>
  </si>
  <si>
    <t>802.11 b/g/n+bluetooth</t>
  </si>
  <si>
    <t>Cổng kết nối ngoại vi</t>
  </si>
  <si>
    <t>Kết cấu vật liệu</t>
  </si>
  <si>
    <t>Tấm mạ kẽm, sơn phun bề mặt</t>
  </si>
  <si>
    <t>Đóng gói</t>
  </si>
  <si>
    <t>Thùng Carton</t>
  </si>
  <si>
    <t>Thông tin chung của thùng máy</t>
  </si>
  <si>
    <t>Thương hiệu</t>
  </si>
  <si>
    <t>Lắp ráp</t>
  </si>
  <si>
    <t>Bảo hành</t>
  </si>
  <si>
    <t>12 tháng</t>
  </si>
  <si>
    <t>Kích thước</t>
  </si>
  <si>
    <t>178 độ/ 178 độ (ngang/ dọc)</t>
  </si>
  <si>
    <t>Số lượng màu</t>
  </si>
  <si>
    <t>16.7 triệu màu</t>
  </si>
  <si>
    <t>Thời gian phản hồi</t>
  </si>
  <si>
    <t>Cấu hình hệ thống (PC tích hợp)</t>
  </si>
  <si>
    <t>RAM</t>
  </si>
  <si>
    <t>Bộ nhớ</t>
  </si>
  <si>
    <t>Hệ thống</t>
  </si>
  <si>
    <t>Giá đã bao gồm thuế VAT; chưa bao gồm các chi phí thi công và các chi phí phát sinh khác (nếu có).</t>
  </si>
  <si>
    <t>1000：1</t>
  </si>
  <si>
    <t>Đứng</t>
  </si>
  <si>
    <t>1280 x 1024</t>
  </si>
  <si>
    <t>i5-9400 (hoặc tương đương)</t>
  </si>
  <si>
    <t>Cảm ứng điện dung</t>
  </si>
  <si>
    <t>Tiêu chuẩn 250cd / cm2</t>
  </si>
  <si>
    <t>VGA(out), HDMI(out), USB, RJ45, Audio output, Anten</t>
  </si>
  <si>
    <t>ARIRANG</t>
  </si>
  <si>
    <t>Máy In</t>
  </si>
  <si>
    <t>Phương pháp in</t>
  </si>
  <si>
    <t>In nhiệt</t>
  </si>
  <si>
    <t>203 dpi</t>
  </si>
  <si>
    <t>Tốc độ in</t>
  </si>
  <si>
    <t>Chiều rộng in</t>
  </si>
  <si>
    <t>576 dots（72mm）</t>
  </si>
  <si>
    <t>Chiều rộng giấy</t>
  </si>
  <si>
    <t>79.5 ± 0.5 mm</t>
  </si>
  <si>
    <t>Độ dày giấy</t>
  </si>
  <si>
    <t>60~120um</t>
  </si>
  <si>
    <t>Cách đặt giấy</t>
  </si>
  <si>
    <t>Tự động nạp giấy</t>
  </si>
  <si>
    <t>Phương pháp cắt giấy</t>
  </si>
  <si>
    <t>Cắt toàn bộ/ cắt một nửa (chọn 1 trong 2)</t>
  </si>
  <si>
    <t>Chiều dài tối đa của bản in liên tục</t>
  </si>
  <si>
    <t>100KM</t>
  </si>
  <si>
    <t>Tuổi thọ cắt giấy</t>
  </si>
  <si>
    <t>1 triệu lần</t>
  </si>
  <si>
    <t>Tốc độ truyền in</t>
  </si>
  <si>
    <t>9.600, 19.200, 38.400, 115.200</t>
  </si>
  <si>
    <t>Phát hiện hết giấy</t>
  </si>
  <si>
    <t>Cảm biến quang điện cơ học</t>
  </si>
  <si>
    <t>DDR4 8GB (hoặc tương đương)</t>
  </si>
  <si>
    <t>SSD 256GB (hoặc tương đương)</t>
  </si>
  <si>
    <t>Đơn giá
Full VAT</t>
  </si>
  <si>
    <t>II</t>
  </si>
  <si>
    <t>III</t>
  </si>
  <si>
    <t>Cái</t>
  </si>
  <si>
    <t>178/178 (ngang/dọc)</t>
  </si>
  <si>
    <t xml:space="preserve">Cổng giao tiếp </t>
  </si>
  <si>
    <t>Tiêu chuẩn sản xuất</t>
  </si>
  <si>
    <t>Việt Nam</t>
  </si>
  <si>
    <t>FreeDOS, hỗ trợ Windows 7/8/10/11</t>
  </si>
  <si>
    <t>Thành tiền
Full VAT</t>
  </si>
  <si>
    <t>55 inch 4K UHD Display</t>
  </si>
  <si>
    <t>5000 : 1</t>
  </si>
  <si>
    <t>300 cd/m2</t>
  </si>
  <si>
    <t>1460 x 430 x 330 (Cao x Ngang x Sâu) mm</t>
  </si>
  <si>
    <t>1560 x 560 x 450 (Cao x Ngang x Sâu) mm</t>
  </si>
  <si>
    <t>Kích thước đóng gói</t>
  </si>
  <si>
    <t>tại Việt Nam theo tiêu chuẩn ISO 9001:2015, ISO 14001:2015, ISO/IEC 27001:2022</t>
  </si>
  <si>
    <t>KIOSK lấy số tự động - KIOSK Machine (ARIRANG 17KL559PQ)</t>
  </si>
  <si>
    <t>Cổng kết nối:</t>
  </si>
  <si>
    <t>HDMI, USB 2.0, USB 3.0, RJ-45, khe sim tích hợp, cổng invert để cấp tín hiệu điều khiển và nguồn cho mạch inverter màn hình LCD/CCFL hoặc board backlight LED</t>
  </si>
  <si>
    <t>Kết cấu mainboard</t>
  </si>
  <si>
    <t>Dòng main chuyên dụng sử dụng bền bỉ; tích hợp khe gắn sim; 
Trên main tích hợp sẵn cổng invert để cấp tín hiệu điều khiển và nguồn cho mạch inverter màn hình LCD/CCFL hoặc board backlight LED</t>
  </si>
  <si>
    <t>Tiêu chuẩn khác</t>
  </si>
  <si>
    <t>Đáp ứng các tiêu chí về: OHSMS, EnSM
Đáp ứng các tiêu chí của SAI</t>
  </si>
  <si>
    <t>17 inch vuông, tỉ lệ 4:3</t>
  </si>
  <si>
    <t>tối đa 230mm/s</t>
  </si>
  <si>
    <t>Gói</t>
  </si>
  <si>
    <t>Thời gian giao hàng: 20-45 ngày sau khi nhận được đơn đặt hàng/hợp đồng và khoản tạm ứng</t>
  </si>
  <si>
    <t>131 Trần Huy Liệu, Phường Phú Nhuận, Tp. HCM</t>
  </si>
  <si>
    <t>- Gọi số tại quầy</t>
  </si>
  <si>
    <t>- Xem danh sách số chờ và gọi</t>
  </si>
  <si>
    <t>- Xem danh sách số nhỡ và gọi</t>
  </si>
  <si>
    <t>- Khoá lấy số</t>
  </si>
  <si>
    <t>- Gọi lại, gọi số tiếp theo, Bỏ qua số, Chuyển số, Huỷ số, Trả số</t>
  </si>
  <si>
    <r>
      <rPr>
        <b/>
        <sz val="12"/>
        <color theme="1"/>
        <rFont val="Calibri"/>
        <family val="2"/>
        <scheme val="minor"/>
      </rPr>
      <t>From:</t>
    </r>
    <r>
      <rPr>
        <sz val="12"/>
        <color theme="1"/>
        <rFont val="Calibri"/>
        <family val="2"/>
        <scheme val="minor"/>
      </rPr>
      <t xml:space="preserve"> Huy Tran</t>
    </r>
  </si>
  <si>
    <t xml:space="preserve">TRẦN LÊ QUANG HUY </t>
  </si>
  <si>
    <t>Sales Dept. - Sales Manager</t>
  </si>
  <si>
    <t>Cell phone: 0908 319 827 - 0787 670 492</t>
  </si>
  <si>
    <t>PHẦN MỀM GỌI SỐ - QMS CALLER
(Thuế suất: KCT): 5 quầy</t>
  </si>
  <si>
    <t>Android</t>
  </si>
  <si>
    <t>Tích hợp Android 14, 2GB, 16GB</t>
  </si>
  <si>
    <t>HDMI (3), CVBS/Audio L/R; RS-232; USB, Audio In, Audio Out</t>
  </si>
  <si>
    <t>ISO 9001, ISO 14001, ISO 45001, ISO 50001, SA8000:2014; ISO 27000:2022</t>
  </si>
  <si>
    <t xml:space="preserve">Thiết bị hiển thị - màn hình 55 inch 55UN11 - Arirang </t>
  </si>
  <si>
    <t>- Xuất xứ: Việt Nam - Năm sản xuất: 2026 
- Nhãn hiệu:  INNTEK</t>
  </si>
  <si>
    <t xml:space="preserve">- Xuất xứ: lắp ráp tại Việt Nam - Năm sản xuất: 2026 </t>
  </si>
  <si>
    <t>To: Mr. Vũ - Công ty TSOL</t>
  </si>
  <si>
    <t>Trình đọc QR code</t>
  </si>
  <si>
    <t xml:space="preserve"> Chế độ đọc và ghi</t>
  </si>
  <si>
    <t>752x480 CMOS</t>
  </si>
  <si>
    <t xml:space="preserve"> Cổng kết nối</t>
  </si>
  <si>
    <t>USB</t>
  </si>
  <si>
    <t>Hệ thống mã nhận diện</t>
  </si>
  <si>
    <t>2D: PDF 417,Data Maxtrix. QR code    
1D: EAN-8,UPC-A,UPC-E,CODE 11,CODE 39...</t>
  </si>
  <si>
    <t>Chế độ nhận dạng</t>
  </si>
  <si>
    <t>Nhận dạng cảm ứng, nhận dạng liên tục</t>
  </si>
  <si>
    <t>Đọc CCCD</t>
  </si>
  <si>
    <t>Có, đọc CCCD mới</t>
  </si>
  <si>
    <t>Độ chính xác nhận dạng</t>
  </si>
  <si>
    <t>&gt; 5 mil</t>
  </si>
  <si>
    <t>Vùng xem</t>
  </si>
  <si>
    <t xml:space="preserve"> Mức: 75 Dọc: 50</t>
  </si>
  <si>
    <t xml:space="preserve">Project: Kiosk 17'' + PM lấy số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</si>
</sst>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(* #,##0.0_);_(* \(#,##0.0\);_(* &quot;-&quot;??_);_(@_)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u/>
      <sz val="12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name val="Arial"/>
      <family val="2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119">
    <xf numFmtId="0" fontId="0" fillId="0" borderId="0" xfId="0"/>
    <xf numFmtId="166" fontId="3" fillId="0" borderId="0" xfId="1" applyNumberFormat="1" applyFont="1" applyBorder="1" applyAlignment="1">
      <alignment vertical="center"/>
    </xf>
    <xf numFmtId="166" fontId="0" fillId="0" borderId="0" xfId="1" applyNumberFormat="1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167" fontId="3" fillId="0" borderId="0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Alignment="1">
      <alignment vertical="center"/>
    </xf>
    <xf numFmtId="0" fontId="3" fillId="0" borderId="0" xfId="0" applyFont="1"/>
    <xf numFmtId="166" fontId="3" fillId="0" borderId="0" xfId="1" applyNumberFormat="1" applyFont="1"/>
    <xf numFmtId="0" fontId="11" fillId="0" borderId="0" xfId="0" applyFont="1"/>
    <xf numFmtId="0" fontId="5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6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6" fillId="0" borderId="0" xfId="0" applyFont="1" applyBorder="1" applyAlignment="1"/>
    <xf numFmtId="0" fontId="17" fillId="0" borderId="4" xfId="0" quotePrefix="1" applyFont="1" applyFill="1" applyBorder="1" applyAlignment="1">
      <alignment horizontal="left" vertical="center" wrapText="1"/>
    </xf>
    <xf numFmtId="0" fontId="0" fillId="0" borderId="0" xfId="0" applyFill="1"/>
    <xf numFmtId="164" fontId="0" fillId="0" borderId="0" xfId="0" applyNumberFormat="1" applyFill="1"/>
    <xf numFmtId="0" fontId="6" fillId="0" borderId="4" xfId="0" applyFont="1" applyFill="1" applyBorder="1" applyAlignment="1">
      <alignment horizontal="center" vertical="center" wrapText="1"/>
    </xf>
    <xf numFmtId="166" fontId="6" fillId="0" borderId="4" xfId="1" applyNumberFormat="1" applyFont="1" applyFill="1" applyBorder="1" applyAlignment="1">
      <alignment vertical="center" wrapText="1"/>
    </xf>
    <xf numFmtId="166" fontId="8" fillId="0" borderId="4" xfId="1" applyNumberFormat="1" applyFont="1" applyFill="1" applyBorder="1" applyAlignment="1">
      <alignment horizontal="center" vertical="center" wrapText="1"/>
    </xf>
    <xf numFmtId="166" fontId="13" fillId="0" borderId="4" xfId="1" applyNumberFormat="1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0" fontId="17" fillId="0" borderId="5" xfId="0" quotePrefix="1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166" fontId="6" fillId="0" borderId="5" xfId="1" applyNumberFormat="1" applyFont="1" applyFill="1" applyBorder="1" applyAlignment="1">
      <alignment vertical="center" wrapText="1"/>
    </xf>
    <xf numFmtId="166" fontId="8" fillId="0" borderId="5" xfId="1" applyNumberFormat="1" applyFont="1" applyFill="1" applyBorder="1" applyAlignment="1">
      <alignment horizontal="center" vertical="center" wrapText="1"/>
    </xf>
    <xf numFmtId="166" fontId="13" fillId="0" borderId="5" xfId="1" applyNumberFormat="1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/>
    </xf>
    <xf numFmtId="0" fontId="17" fillId="0" borderId="6" xfId="0" quotePrefix="1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 wrapText="1"/>
    </xf>
    <xf numFmtId="166" fontId="6" fillId="0" borderId="6" xfId="1" applyNumberFormat="1" applyFont="1" applyFill="1" applyBorder="1" applyAlignment="1">
      <alignment vertical="center" wrapText="1"/>
    </xf>
    <xf numFmtId="166" fontId="8" fillId="0" borderId="6" xfId="1" applyNumberFormat="1" applyFont="1" applyFill="1" applyBorder="1" applyAlignment="1">
      <alignment horizontal="center" vertical="center" wrapText="1"/>
    </xf>
    <xf numFmtId="166" fontId="13" fillId="0" borderId="6" xfId="1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right" vertical="center"/>
    </xf>
    <xf numFmtId="0" fontId="18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left" vertical="center" wrapText="1"/>
    </xf>
    <xf numFmtId="0" fontId="18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166" fontId="6" fillId="3" borderId="7" xfId="1" applyNumberFormat="1" applyFont="1" applyFill="1" applyBorder="1" applyAlignment="1">
      <alignment vertical="center" wrapText="1"/>
    </xf>
    <xf numFmtId="166" fontId="13" fillId="3" borderId="7" xfId="1" applyNumberFormat="1" applyFont="1" applyFill="1" applyBorder="1" applyAlignment="1">
      <alignment horizontal="center" vertical="center" wrapText="1"/>
    </xf>
    <xf numFmtId="166" fontId="13" fillId="3" borderId="3" xfId="1" applyNumberFormat="1" applyFont="1" applyFill="1" applyBorder="1" applyAlignment="1">
      <alignment horizontal="left" vertical="center" wrapText="1"/>
    </xf>
    <xf numFmtId="0" fontId="17" fillId="0" borderId="6" xfId="0" applyFont="1" applyFill="1" applyBorder="1" applyAlignment="1">
      <alignment horizontal="left" vertical="center" wrapText="1"/>
    </xf>
    <xf numFmtId="0" fontId="18" fillId="0" borderId="5" xfId="0" applyFont="1" applyFill="1" applyBorder="1" applyAlignment="1">
      <alignment horizontal="left" vertical="center"/>
    </xf>
    <xf numFmtId="0" fontId="0" fillId="0" borderId="8" xfId="0" applyFill="1" applyBorder="1"/>
    <xf numFmtId="0" fontId="0" fillId="0" borderId="9" xfId="0" applyFill="1" applyBorder="1"/>
    <xf numFmtId="0" fontId="18" fillId="0" borderId="4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166" fontId="21" fillId="3" borderId="1" xfId="1" applyNumberFormat="1" applyFont="1" applyFill="1" applyBorder="1" applyAlignment="1">
      <alignment horizontal="center" vertical="center" wrapText="1"/>
    </xf>
    <xf numFmtId="166" fontId="21" fillId="3" borderId="1" xfId="1" applyNumberFormat="1" applyFont="1" applyFill="1" applyBorder="1" applyAlignment="1">
      <alignment horizontal="left" vertical="center" wrapText="1"/>
    </xf>
    <xf numFmtId="166" fontId="20" fillId="3" borderId="1" xfId="1" applyNumberFormat="1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/>
    </xf>
    <xf numFmtId="0" fontId="17" fillId="0" borderId="9" xfId="0" quotePrefix="1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center" vertical="center" wrapText="1"/>
    </xf>
    <xf numFmtId="166" fontId="22" fillId="0" borderId="10" xfId="1" applyNumberFormat="1" applyFont="1" applyFill="1" applyBorder="1" applyAlignment="1">
      <alignment vertical="center" wrapText="1"/>
    </xf>
    <xf numFmtId="166" fontId="1" fillId="0" borderId="10" xfId="1" applyNumberFormat="1" applyFont="1" applyFill="1" applyBorder="1" applyAlignment="1">
      <alignment horizontal="center" vertical="center" wrapText="1"/>
    </xf>
    <xf numFmtId="166" fontId="23" fillId="0" borderId="11" xfId="1" applyNumberFormat="1" applyFont="1" applyFill="1" applyBorder="1" applyAlignment="1">
      <alignment horizontal="left" vertical="center" wrapText="1"/>
    </xf>
    <xf numFmtId="0" fontId="24" fillId="0" borderId="0" xfId="0" applyFont="1" applyFill="1"/>
    <xf numFmtId="164" fontId="24" fillId="0" borderId="0" xfId="0" applyNumberFormat="1" applyFont="1" applyFill="1"/>
    <xf numFmtId="0" fontId="24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vertical="center" wrapText="1"/>
    </xf>
    <xf numFmtId="166" fontId="13" fillId="3" borderId="1" xfId="1" applyNumberFormat="1" applyFont="1" applyFill="1" applyBorder="1" applyAlignment="1">
      <alignment horizontal="center" vertical="center" wrapText="1"/>
    </xf>
    <xf numFmtId="166" fontId="13" fillId="3" borderId="1" xfId="1" applyNumberFormat="1" applyFont="1" applyFill="1" applyBorder="1" applyAlignment="1">
      <alignment horizontal="left" vertical="center" wrapText="1"/>
    </xf>
    <xf numFmtId="46" fontId="17" fillId="0" borderId="5" xfId="0" quotePrefix="1" applyNumberFormat="1" applyFont="1" applyFill="1" applyBorder="1" applyAlignment="1">
      <alignment horizontal="left" vertical="center" wrapText="1"/>
    </xf>
    <xf numFmtId="0" fontId="12" fillId="0" borderId="5" xfId="0" applyFont="1" applyBorder="1" applyAlignment="1">
      <alignment vertical="center"/>
    </xf>
    <xf numFmtId="0" fontId="18" fillId="0" borderId="5" xfId="0" quotePrefix="1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166" fontId="18" fillId="0" borderId="5" xfId="1" applyNumberFormat="1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66" fontId="3" fillId="0" borderId="6" xfId="1" applyNumberFormat="1" applyFont="1" applyBorder="1" applyAlignment="1">
      <alignment vertical="center"/>
    </xf>
    <xf numFmtId="164" fontId="13" fillId="0" borderId="5" xfId="1" applyNumberFormat="1" applyFont="1" applyFill="1" applyBorder="1" applyAlignment="1">
      <alignment horizontal="left" vertical="center" wrapText="1"/>
    </xf>
    <xf numFmtId="0" fontId="18" fillId="4" borderId="4" xfId="0" quotePrefix="1" applyFont="1" applyFill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7" fillId="5" borderId="5" xfId="0" quotePrefix="1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25" fillId="0" borderId="5" xfId="0" applyFont="1" applyBorder="1" applyAlignment="1">
      <alignment vertical="center"/>
    </xf>
    <xf numFmtId="0" fontId="17" fillId="6" borderId="8" xfId="0" applyFont="1" applyFill="1" applyBorder="1" applyAlignment="1">
      <alignment vertical="center" wrapText="1"/>
    </xf>
    <xf numFmtId="0" fontId="17" fillId="0" borderId="5" xfId="0" applyFont="1" applyFill="1" applyBorder="1" applyAlignment="1">
      <alignment vertical="center"/>
    </xf>
    <xf numFmtId="166" fontId="17" fillId="0" borderId="5" xfId="1" applyNumberFormat="1" applyFont="1" applyFill="1" applyBorder="1" applyAlignment="1">
      <alignment vertical="center"/>
    </xf>
    <xf numFmtId="166" fontId="1" fillId="0" borderId="5" xfId="1" applyNumberFormat="1" applyFont="1" applyFill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66" fontId="3" fillId="0" borderId="4" xfId="1" applyNumberFormat="1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0" fontId="19" fillId="0" borderId="4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 wrapText="1"/>
    </xf>
    <xf numFmtId="166" fontId="13" fillId="0" borderId="4" xfId="1" applyNumberFormat="1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166" fontId="13" fillId="0" borderId="5" xfId="1" applyNumberFormat="1" applyFont="1" applyFill="1" applyBorder="1" applyAlignment="1">
      <alignment horizontal="center" vertical="center" wrapText="1"/>
    </xf>
    <xf numFmtId="166" fontId="18" fillId="0" borderId="5" xfId="0" applyNumberFormat="1" applyFont="1" applyBorder="1" applyAlignment="1">
      <alignment vertical="center"/>
    </xf>
    <xf numFmtId="9" fontId="13" fillId="0" borderId="5" xfId="3" applyFont="1" applyFill="1" applyBorder="1" applyAlignment="1">
      <alignment horizontal="left" vertical="center" wrapText="1"/>
    </xf>
    <xf numFmtId="166" fontId="13" fillId="0" borderId="1" xfId="1" applyNumberFormat="1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/>
    </xf>
    <xf numFmtId="166" fontId="13" fillId="0" borderId="6" xfId="1" applyNumberFormat="1" applyFont="1" applyFill="1" applyBorder="1" applyAlignment="1">
      <alignment horizontal="center" vertical="center" wrapText="1"/>
    </xf>
    <xf numFmtId="166" fontId="3" fillId="0" borderId="6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5" fillId="0" borderId="0" xfId="0" applyFont="1" applyBorder="1" applyAlignment="1">
      <alignment horizontal="left"/>
    </xf>
    <xf numFmtId="165" fontId="15" fillId="0" borderId="0" xfId="0" applyNumberFormat="1" applyFont="1" applyBorder="1" applyAlignment="1">
      <alignment horizontal="left"/>
    </xf>
    <xf numFmtId="0" fontId="6" fillId="3" borderId="7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6" fillId="0" borderId="0" xfId="0" applyFont="1" applyBorder="1" applyAlignment="1">
      <alignment horizontal="left"/>
    </xf>
  </cellXfs>
  <cellStyles count="4">
    <cellStyle name="Comma" xfId="1" builtinId="3"/>
    <cellStyle name="Normal" xfId="0" builtinId="0"/>
    <cellStyle name="Normal 2 2 2" xfId="2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790575</xdr:colOff>
      <xdr:row>4</xdr:row>
      <xdr:rowOff>28992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1913" cy="755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tabSelected="1" view="pageBreakPreview" topLeftCell="A13" zoomScale="115" zoomScaleNormal="115" zoomScaleSheetLayoutView="115" workbookViewId="0">
      <selection activeCell="F17" sqref="F17"/>
    </sheetView>
  </sheetViews>
  <sheetFormatPr defaultRowHeight="15" x14ac:dyDescent="0.25"/>
  <cols>
    <col min="1" max="1" width="6.5703125" customWidth="1"/>
    <col min="2" max="2" width="21.5703125" customWidth="1"/>
    <col min="3" max="3" width="52.5703125" customWidth="1"/>
    <col min="4" max="4" width="7.5703125" customWidth="1"/>
    <col min="5" max="5" width="5.42578125" customWidth="1"/>
    <col min="6" max="6" width="15.140625" bestFit="1" customWidth="1"/>
    <col min="7" max="7" width="15.28515625" style="2" customWidth="1"/>
    <col min="8" max="8" width="2.42578125" customWidth="1"/>
    <col min="9" max="9" width="16.42578125" bestFit="1" customWidth="1"/>
    <col min="10" max="11" width="12" bestFit="1" customWidth="1"/>
  </cols>
  <sheetData>
    <row r="1" spans="1:12" x14ac:dyDescent="0.25">
      <c r="D1" s="116" t="s">
        <v>27</v>
      </c>
      <c r="E1" s="116"/>
      <c r="F1" s="116"/>
      <c r="G1" s="116"/>
    </row>
    <row r="2" spans="1:12" x14ac:dyDescent="0.25">
      <c r="D2" s="116" t="s">
        <v>12</v>
      </c>
      <c r="E2" s="116"/>
      <c r="F2" s="116"/>
      <c r="G2" s="116"/>
    </row>
    <row r="3" spans="1:12" x14ac:dyDescent="0.25">
      <c r="D3" s="116" t="s">
        <v>122</v>
      </c>
      <c r="E3" s="116"/>
      <c r="F3" s="116"/>
      <c r="G3" s="116"/>
    </row>
    <row r="4" spans="1:12" x14ac:dyDescent="0.25">
      <c r="D4" s="116" t="s">
        <v>24</v>
      </c>
      <c r="E4" s="116"/>
      <c r="F4" s="116"/>
      <c r="G4" s="116"/>
    </row>
    <row r="5" spans="1:12" ht="30.75" x14ac:dyDescent="0.4">
      <c r="A5" s="117" t="s">
        <v>2</v>
      </c>
      <c r="B5" s="117"/>
      <c r="C5" s="117"/>
      <c r="D5" s="117"/>
      <c r="E5" s="117"/>
      <c r="F5" s="117"/>
      <c r="G5" s="117"/>
    </row>
    <row r="6" spans="1:12" ht="15.75" x14ac:dyDescent="0.25">
      <c r="A6" s="111" t="s">
        <v>128</v>
      </c>
      <c r="B6" s="111"/>
      <c r="C6" s="111"/>
      <c r="D6" s="118" t="s">
        <v>140</v>
      </c>
      <c r="E6" s="111"/>
      <c r="F6" s="111"/>
      <c r="G6" s="111"/>
    </row>
    <row r="7" spans="1:12" ht="15.75" x14ac:dyDescent="0.25">
      <c r="A7" s="19" t="s">
        <v>4</v>
      </c>
      <c r="B7" s="20" t="s">
        <v>13</v>
      </c>
      <c r="C7" s="20"/>
      <c r="D7" s="118" t="s">
        <v>156</v>
      </c>
      <c r="E7" s="111"/>
      <c r="F7" s="111"/>
      <c r="G7" s="111"/>
      <c r="L7" t="s">
        <v>11</v>
      </c>
    </row>
    <row r="8" spans="1:12" ht="15.75" x14ac:dyDescent="0.25">
      <c r="A8" s="21" t="s">
        <v>1</v>
      </c>
      <c r="B8" s="112">
        <v>46095</v>
      </c>
      <c r="C8" s="112"/>
      <c r="D8" s="111" t="s">
        <v>22</v>
      </c>
      <c r="E8" s="111"/>
      <c r="F8" s="111"/>
      <c r="G8" s="111"/>
    </row>
    <row r="9" spans="1:12" ht="32.25" customHeight="1" x14ac:dyDescent="0.25">
      <c r="A9" s="3" t="s">
        <v>14</v>
      </c>
      <c r="B9" s="4" t="s">
        <v>15</v>
      </c>
      <c r="C9" s="4" t="s">
        <v>16</v>
      </c>
      <c r="D9" s="4" t="s">
        <v>17</v>
      </c>
      <c r="E9" s="5" t="s">
        <v>18</v>
      </c>
      <c r="F9" s="3" t="s">
        <v>94</v>
      </c>
      <c r="G9" s="5" t="s">
        <v>103</v>
      </c>
    </row>
    <row r="10" spans="1:12" x14ac:dyDescent="0.25">
      <c r="A10" s="56" t="s">
        <v>0</v>
      </c>
      <c r="B10" s="114" t="s">
        <v>111</v>
      </c>
      <c r="C10" s="115"/>
      <c r="D10" s="57" t="s">
        <v>25</v>
      </c>
      <c r="E10" s="60">
        <v>1</v>
      </c>
      <c r="F10" s="58">
        <v>37000000</v>
      </c>
      <c r="G10" s="59">
        <f>F10*E10</f>
        <v>37000000</v>
      </c>
    </row>
    <row r="11" spans="1:12" ht="15.75" x14ac:dyDescent="0.25">
      <c r="A11" s="46"/>
      <c r="B11" s="113" t="s">
        <v>29</v>
      </c>
      <c r="C11" s="113"/>
      <c r="D11" s="47"/>
      <c r="E11" s="48"/>
      <c r="F11" s="49"/>
      <c r="G11" s="50"/>
    </row>
    <row r="12" spans="1:12" s="23" customFormat="1" ht="15.75" x14ac:dyDescent="0.25">
      <c r="A12" s="42"/>
      <c r="B12" s="43" t="s">
        <v>29</v>
      </c>
      <c r="C12" s="22" t="s">
        <v>62</v>
      </c>
      <c r="D12" s="25"/>
      <c r="E12" s="26"/>
      <c r="F12" s="27"/>
      <c r="G12" s="28"/>
      <c r="I12" s="24"/>
    </row>
    <row r="13" spans="1:12" s="23" customFormat="1" ht="15.75" x14ac:dyDescent="0.25">
      <c r="A13" s="44"/>
      <c r="B13" s="45" t="s">
        <v>51</v>
      </c>
      <c r="C13" s="30" t="s">
        <v>118</v>
      </c>
      <c r="D13" s="31"/>
      <c r="E13" s="32"/>
      <c r="F13" s="33"/>
      <c r="G13" s="83"/>
      <c r="I13" s="24"/>
    </row>
    <row r="14" spans="1:12" s="23" customFormat="1" ht="15.75" x14ac:dyDescent="0.25">
      <c r="A14" s="44"/>
      <c r="B14" s="45" t="s">
        <v>30</v>
      </c>
      <c r="C14" s="30" t="s">
        <v>63</v>
      </c>
      <c r="D14" s="31"/>
      <c r="E14" s="32"/>
      <c r="F14" s="33"/>
      <c r="G14" s="83"/>
      <c r="I14" s="24"/>
    </row>
    <row r="15" spans="1:12" s="23" customFormat="1" ht="15.75" x14ac:dyDescent="0.25">
      <c r="A15" s="44"/>
      <c r="B15" s="45" t="s">
        <v>31</v>
      </c>
      <c r="C15" s="30" t="s">
        <v>66</v>
      </c>
      <c r="D15" s="31"/>
      <c r="E15" s="32"/>
      <c r="F15" s="33"/>
      <c r="G15" s="34"/>
      <c r="I15" s="24"/>
    </row>
    <row r="16" spans="1:12" s="23" customFormat="1" ht="15.75" x14ac:dyDescent="0.25">
      <c r="A16" s="44"/>
      <c r="B16" s="45" t="s">
        <v>32</v>
      </c>
      <c r="C16" s="30" t="s">
        <v>65</v>
      </c>
      <c r="D16" s="31"/>
      <c r="E16" s="32"/>
      <c r="F16" s="33"/>
      <c r="G16" s="34"/>
      <c r="I16" s="24"/>
    </row>
    <row r="17" spans="1:9" s="23" customFormat="1" ht="15.75" x14ac:dyDescent="0.25">
      <c r="A17" s="44"/>
      <c r="B17" s="45" t="s">
        <v>33</v>
      </c>
      <c r="C17" s="30" t="s">
        <v>52</v>
      </c>
      <c r="D17" s="31"/>
      <c r="E17" s="32"/>
      <c r="F17" s="33"/>
      <c r="G17" s="34"/>
      <c r="I17" s="24"/>
    </row>
    <row r="18" spans="1:9" s="23" customFormat="1" ht="15.75" x14ac:dyDescent="0.25">
      <c r="A18" s="44"/>
      <c r="B18" s="45" t="s">
        <v>34</v>
      </c>
      <c r="C18" s="30" t="s">
        <v>35</v>
      </c>
      <c r="D18" s="31"/>
      <c r="E18" s="32"/>
      <c r="F18" s="33"/>
      <c r="G18" s="34"/>
      <c r="I18" s="24"/>
    </row>
    <row r="19" spans="1:9" s="23" customFormat="1" ht="15.75" x14ac:dyDescent="0.25">
      <c r="A19" s="44"/>
      <c r="B19" s="45" t="s">
        <v>53</v>
      </c>
      <c r="C19" s="30" t="s">
        <v>54</v>
      </c>
      <c r="D19" s="31"/>
      <c r="E19" s="32"/>
      <c r="F19" s="33"/>
      <c r="G19" s="34"/>
      <c r="I19" s="24"/>
    </row>
    <row r="20" spans="1:9" s="23" customFormat="1" ht="15.75" x14ac:dyDescent="0.25">
      <c r="A20" s="44"/>
      <c r="B20" s="45" t="s">
        <v>55</v>
      </c>
      <c r="C20" s="30" t="s">
        <v>36</v>
      </c>
      <c r="D20" s="31"/>
      <c r="E20" s="32"/>
      <c r="F20" s="33"/>
      <c r="G20" s="34"/>
      <c r="I20" s="24"/>
    </row>
    <row r="21" spans="1:9" s="23" customFormat="1" ht="15.75" x14ac:dyDescent="0.25">
      <c r="A21" s="44"/>
      <c r="B21" s="45" t="s">
        <v>37</v>
      </c>
      <c r="C21" s="30" t="s">
        <v>61</v>
      </c>
      <c r="D21" s="31"/>
      <c r="E21" s="32"/>
      <c r="F21" s="33"/>
      <c r="G21" s="34"/>
      <c r="I21" s="24"/>
    </row>
    <row r="22" spans="1:9" ht="15.75" x14ac:dyDescent="0.25">
      <c r="A22" s="46"/>
      <c r="B22" s="113" t="s">
        <v>56</v>
      </c>
      <c r="C22" s="113"/>
      <c r="D22" s="47"/>
      <c r="E22" s="48"/>
      <c r="F22" s="49"/>
      <c r="G22" s="50"/>
    </row>
    <row r="23" spans="1:9" s="23" customFormat="1" ht="15.75" x14ac:dyDescent="0.25">
      <c r="A23" s="44"/>
      <c r="B23" s="45" t="s">
        <v>38</v>
      </c>
      <c r="C23" s="30" t="s">
        <v>64</v>
      </c>
      <c r="D23" s="31"/>
      <c r="E23" s="32"/>
      <c r="F23" s="33"/>
      <c r="G23" s="34"/>
      <c r="I23" s="24"/>
    </row>
    <row r="24" spans="1:9" s="23" customFormat="1" ht="15.75" x14ac:dyDescent="0.25">
      <c r="A24" s="44"/>
      <c r="B24" s="45" t="s">
        <v>57</v>
      </c>
      <c r="C24" s="30" t="s">
        <v>92</v>
      </c>
      <c r="D24" s="31"/>
      <c r="E24" s="32"/>
      <c r="F24" s="33"/>
      <c r="G24" s="34"/>
      <c r="I24" s="24"/>
    </row>
    <row r="25" spans="1:9" s="23" customFormat="1" ht="15.75" x14ac:dyDescent="0.25">
      <c r="A25" s="44"/>
      <c r="B25" s="45" t="s">
        <v>58</v>
      </c>
      <c r="C25" s="30" t="s">
        <v>93</v>
      </c>
      <c r="D25" s="31"/>
      <c r="E25" s="32"/>
      <c r="F25" s="33"/>
      <c r="G25" s="34"/>
      <c r="I25" s="24"/>
    </row>
    <row r="26" spans="1:9" s="23" customFormat="1" ht="15.75" x14ac:dyDescent="0.25">
      <c r="A26" s="44"/>
      <c r="B26" s="45" t="s">
        <v>59</v>
      </c>
      <c r="C26" s="30" t="s">
        <v>102</v>
      </c>
      <c r="D26" s="31"/>
      <c r="E26" s="32"/>
      <c r="F26" s="33"/>
      <c r="G26" s="34"/>
      <c r="I26" s="24"/>
    </row>
    <row r="27" spans="1:9" s="23" customFormat="1" ht="15.75" x14ac:dyDescent="0.25">
      <c r="A27" s="44"/>
      <c r="B27" s="45" t="s">
        <v>39</v>
      </c>
      <c r="C27" s="30" t="s">
        <v>40</v>
      </c>
      <c r="D27" s="31"/>
      <c r="E27" s="32"/>
      <c r="F27" s="33"/>
      <c r="G27" s="34"/>
      <c r="I27" s="24"/>
    </row>
    <row r="28" spans="1:9" s="23" customFormat="1" ht="38.25" x14ac:dyDescent="0.25">
      <c r="A28" s="44"/>
      <c r="B28" s="45" t="s">
        <v>112</v>
      </c>
      <c r="C28" s="86" t="s">
        <v>113</v>
      </c>
      <c r="D28" s="31"/>
      <c r="E28" s="32"/>
      <c r="F28" s="33"/>
      <c r="G28" s="34"/>
      <c r="I28" s="24"/>
    </row>
    <row r="29" spans="1:9" ht="15.75" x14ac:dyDescent="0.25">
      <c r="A29" s="46"/>
      <c r="B29" s="113" t="s">
        <v>69</v>
      </c>
      <c r="C29" s="113"/>
      <c r="D29" s="47"/>
      <c r="E29" s="48"/>
      <c r="F29" s="49"/>
      <c r="G29" s="50"/>
    </row>
    <row r="30" spans="1:9" s="23" customFormat="1" ht="15.75" x14ac:dyDescent="0.25">
      <c r="A30" s="44"/>
      <c r="B30" s="45" t="s">
        <v>70</v>
      </c>
      <c r="C30" s="30" t="s">
        <v>71</v>
      </c>
      <c r="D30" s="31"/>
      <c r="E30" s="32"/>
      <c r="F30" s="33"/>
      <c r="G30" s="34"/>
      <c r="I30" s="24"/>
    </row>
    <row r="31" spans="1:9" s="23" customFormat="1" ht="15.75" x14ac:dyDescent="0.25">
      <c r="A31" s="44"/>
      <c r="B31" s="45" t="s">
        <v>30</v>
      </c>
      <c r="C31" s="30" t="s">
        <v>72</v>
      </c>
      <c r="D31" s="31"/>
      <c r="E31" s="32"/>
      <c r="F31" s="33"/>
      <c r="G31" s="34"/>
      <c r="I31" s="24"/>
    </row>
    <row r="32" spans="1:9" s="23" customFormat="1" ht="15.75" x14ac:dyDescent="0.25">
      <c r="A32" s="44"/>
      <c r="B32" s="45" t="s">
        <v>73</v>
      </c>
      <c r="C32" s="30" t="s">
        <v>119</v>
      </c>
      <c r="D32" s="31"/>
      <c r="E32" s="32"/>
      <c r="F32" s="33"/>
      <c r="G32" s="34"/>
      <c r="I32" s="24"/>
    </row>
    <row r="33" spans="1:9" s="23" customFormat="1" ht="15.75" x14ac:dyDescent="0.25">
      <c r="A33" s="44"/>
      <c r="B33" s="45" t="s">
        <v>74</v>
      </c>
      <c r="C33" s="30" t="s">
        <v>75</v>
      </c>
      <c r="D33" s="31"/>
      <c r="E33" s="32"/>
      <c r="F33" s="33"/>
      <c r="G33" s="34"/>
      <c r="I33" s="24"/>
    </row>
    <row r="34" spans="1:9" s="23" customFormat="1" ht="15.75" x14ac:dyDescent="0.25">
      <c r="A34" s="44"/>
      <c r="B34" s="45" t="s">
        <v>76</v>
      </c>
      <c r="C34" s="30" t="s">
        <v>77</v>
      </c>
      <c r="D34" s="31"/>
      <c r="E34" s="32"/>
      <c r="F34" s="33"/>
      <c r="G34" s="34"/>
      <c r="I34" s="24"/>
    </row>
    <row r="35" spans="1:9" s="23" customFormat="1" ht="15.75" x14ac:dyDescent="0.25">
      <c r="A35" s="44"/>
      <c r="B35" s="45" t="s">
        <v>78</v>
      </c>
      <c r="C35" s="30" t="s">
        <v>79</v>
      </c>
      <c r="D35" s="31"/>
      <c r="E35" s="32"/>
      <c r="F35" s="33"/>
      <c r="G35" s="34"/>
      <c r="I35" s="24"/>
    </row>
    <row r="36" spans="1:9" s="23" customFormat="1" ht="15.75" x14ac:dyDescent="0.25">
      <c r="A36" s="44"/>
      <c r="B36" s="45" t="s">
        <v>80</v>
      </c>
      <c r="C36" s="30" t="s">
        <v>81</v>
      </c>
      <c r="D36" s="31"/>
      <c r="E36" s="32"/>
      <c r="F36" s="33"/>
      <c r="G36" s="34"/>
      <c r="I36" s="24"/>
    </row>
    <row r="37" spans="1:9" s="23" customFormat="1" ht="15.75" x14ac:dyDescent="0.25">
      <c r="A37" s="44"/>
      <c r="B37" s="45" t="s">
        <v>82</v>
      </c>
      <c r="C37" s="30" t="s">
        <v>83</v>
      </c>
      <c r="D37" s="31"/>
      <c r="E37" s="32"/>
      <c r="F37" s="33"/>
      <c r="G37" s="34"/>
      <c r="I37" s="24"/>
    </row>
    <row r="38" spans="1:9" s="23" customFormat="1" ht="25.5" x14ac:dyDescent="0.25">
      <c r="A38" s="44"/>
      <c r="B38" s="45" t="s">
        <v>84</v>
      </c>
      <c r="C38" s="30" t="s">
        <v>85</v>
      </c>
      <c r="D38" s="31"/>
      <c r="E38" s="32"/>
      <c r="F38" s="33"/>
      <c r="G38" s="34"/>
      <c r="I38" s="24"/>
    </row>
    <row r="39" spans="1:9" s="23" customFormat="1" ht="15.75" x14ac:dyDescent="0.25">
      <c r="A39" s="44"/>
      <c r="B39" s="45" t="s">
        <v>86</v>
      </c>
      <c r="C39" s="30" t="s">
        <v>87</v>
      </c>
      <c r="D39" s="31"/>
      <c r="E39" s="32"/>
      <c r="F39" s="33"/>
      <c r="G39" s="34"/>
      <c r="I39" s="24"/>
    </row>
    <row r="40" spans="1:9" s="23" customFormat="1" ht="15.75" x14ac:dyDescent="0.25">
      <c r="A40" s="44"/>
      <c r="B40" s="45" t="s">
        <v>88</v>
      </c>
      <c r="C40" s="30" t="s">
        <v>89</v>
      </c>
      <c r="D40" s="31"/>
      <c r="E40" s="32"/>
      <c r="F40" s="33"/>
      <c r="G40" s="34"/>
      <c r="I40" s="24"/>
    </row>
    <row r="41" spans="1:9" s="23" customFormat="1" ht="15.75" x14ac:dyDescent="0.25">
      <c r="A41" s="44"/>
      <c r="B41" s="45" t="s">
        <v>90</v>
      </c>
      <c r="C41" s="30" t="s">
        <v>91</v>
      </c>
      <c r="D41" s="31"/>
      <c r="E41" s="32"/>
      <c r="F41" s="33"/>
      <c r="G41" s="34"/>
      <c r="I41" s="24"/>
    </row>
    <row r="42" spans="1:9" ht="15.75" x14ac:dyDescent="0.25">
      <c r="A42" s="46"/>
      <c r="B42" s="113" t="s">
        <v>141</v>
      </c>
      <c r="C42" s="113"/>
      <c r="D42" s="47"/>
      <c r="E42" s="48"/>
      <c r="F42" s="49"/>
      <c r="G42" s="50"/>
    </row>
    <row r="43" spans="1:9" s="23" customFormat="1" ht="15.75" x14ac:dyDescent="0.25">
      <c r="A43" s="44"/>
      <c r="B43" s="45" t="s">
        <v>142</v>
      </c>
      <c r="C43" s="30" t="s">
        <v>143</v>
      </c>
      <c r="D43" s="31"/>
      <c r="E43" s="32"/>
      <c r="F43" s="33"/>
      <c r="G43" s="34"/>
      <c r="I43" s="24"/>
    </row>
    <row r="44" spans="1:9" s="23" customFormat="1" ht="15.75" x14ac:dyDescent="0.25">
      <c r="A44" s="44"/>
      <c r="B44" s="45" t="s">
        <v>144</v>
      </c>
      <c r="C44" s="30" t="s">
        <v>145</v>
      </c>
      <c r="D44" s="31"/>
      <c r="E44" s="32"/>
      <c r="F44" s="33"/>
      <c r="G44" s="34"/>
      <c r="I44" s="24"/>
    </row>
    <row r="45" spans="1:9" s="23" customFormat="1" ht="25.5" x14ac:dyDescent="0.25">
      <c r="A45" s="44"/>
      <c r="B45" s="45" t="s">
        <v>146</v>
      </c>
      <c r="C45" s="30" t="s">
        <v>147</v>
      </c>
      <c r="D45" s="31"/>
      <c r="E45" s="32"/>
      <c r="F45" s="33"/>
      <c r="G45" s="34"/>
      <c r="I45" s="24"/>
    </row>
    <row r="46" spans="1:9" s="23" customFormat="1" ht="15.75" x14ac:dyDescent="0.25">
      <c r="A46" s="44"/>
      <c r="B46" s="45" t="s">
        <v>148</v>
      </c>
      <c r="C46" s="30" t="s">
        <v>149</v>
      </c>
      <c r="D46" s="31"/>
      <c r="E46" s="32"/>
      <c r="F46" s="33"/>
      <c r="G46" s="34"/>
      <c r="I46" s="24"/>
    </row>
    <row r="47" spans="1:9" s="23" customFormat="1" ht="15.75" x14ac:dyDescent="0.25">
      <c r="A47" s="44"/>
      <c r="B47" s="45" t="s">
        <v>150</v>
      </c>
      <c r="C47" s="30" t="s">
        <v>151</v>
      </c>
      <c r="D47" s="31"/>
      <c r="E47" s="32"/>
      <c r="F47" s="33"/>
      <c r="G47" s="34"/>
      <c r="I47" s="24"/>
    </row>
    <row r="48" spans="1:9" s="23" customFormat="1" ht="15.75" x14ac:dyDescent="0.25">
      <c r="A48" s="44"/>
      <c r="B48" s="45" t="s">
        <v>152</v>
      </c>
      <c r="C48" s="30" t="s">
        <v>153</v>
      </c>
      <c r="D48" s="31"/>
      <c r="E48" s="32"/>
      <c r="F48" s="33"/>
      <c r="G48" s="34"/>
      <c r="I48" s="24"/>
    </row>
    <row r="49" spans="1:9" s="23" customFormat="1" ht="15.75" x14ac:dyDescent="0.25">
      <c r="A49" s="44"/>
      <c r="B49" s="45" t="s">
        <v>154</v>
      </c>
      <c r="C49" s="30" t="s">
        <v>155</v>
      </c>
      <c r="D49" s="31"/>
      <c r="E49" s="32"/>
      <c r="F49" s="33"/>
      <c r="G49" s="34"/>
      <c r="I49" s="24"/>
    </row>
    <row r="50" spans="1:9" ht="15.75" x14ac:dyDescent="0.25">
      <c r="A50" s="46"/>
      <c r="B50" s="113" t="s">
        <v>46</v>
      </c>
      <c r="C50" s="113"/>
      <c r="D50" s="47"/>
      <c r="E50" s="48"/>
      <c r="F50" s="49"/>
      <c r="G50" s="50"/>
    </row>
    <row r="51" spans="1:9" s="23" customFormat="1" ht="15.75" x14ac:dyDescent="0.25">
      <c r="A51" s="54"/>
      <c r="B51" s="55" t="s">
        <v>41</v>
      </c>
      <c r="C51" s="43" t="s">
        <v>67</v>
      </c>
      <c r="D51" s="25"/>
      <c r="E51" s="26"/>
      <c r="F51" s="27"/>
      <c r="G51" s="28"/>
      <c r="I51" s="24"/>
    </row>
    <row r="52" spans="1:9" s="23" customFormat="1" ht="57" customHeight="1" x14ac:dyDescent="0.25">
      <c r="A52" s="53"/>
      <c r="B52" s="55" t="s">
        <v>114</v>
      </c>
      <c r="C52" s="87" t="s">
        <v>115</v>
      </c>
      <c r="D52" s="31"/>
      <c r="E52" s="32"/>
      <c r="F52" s="33"/>
      <c r="G52" s="34"/>
      <c r="I52" s="24"/>
    </row>
    <row r="53" spans="1:9" s="23" customFormat="1" ht="15.75" x14ac:dyDescent="0.25">
      <c r="A53" s="53"/>
      <c r="B53" s="52" t="s">
        <v>42</v>
      </c>
      <c r="C53" s="45" t="s">
        <v>43</v>
      </c>
      <c r="D53" s="31"/>
      <c r="E53" s="32"/>
      <c r="F53" s="33"/>
      <c r="G53" s="34"/>
      <c r="I53" s="24"/>
    </row>
    <row r="54" spans="1:9" s="23" customFormat="1" ht="15.75" x14ac:dyDescent="0.25">
      <c r="A54" s="53"/>
      <c r="B54" s="52" t="s">
        <v>51</v>
      </c>
      <c r="C54" s="45" t="s">
        <v>107</v>
      </c>
      <c r="D54" s="31"/>
      <c r="E54" s="32"/>
      <c r="F54" s="33"/>
      <c r="G54" s="34"/>
      <c r="I54" s="24"/>
    </row>
    <row r="55" spans="1:9" s="23" customFormat="1" ht="15.75" x14ac:dyDescent="0.25">
      <c r="A55" s="53"/>
      <c r="B55" s="52" t="s">
        <v>109</v>
      </c>
      <c r="C55" s="45" t="s">
        <v>108</v>
      </c>
      <c r="D55" s="31"/>
      <c r="E55" s="32"/>
      <c r="F55" s="33"/>
      <c r="G55" s="34"/>
      <c r="I55" s="24"/>
    </row>
    <row r="56" spans="1:9" s="23" customFormat="1" ht="15.75" x14ac:dyDescent="0.25">
      <c r="A56" s="53"/>
      <c r="B56" s="52" t="s">
        <v>44</v>
      </c>
      <c r="C56" s="45" t="s">
        <v>45</v>
      </c>
      <c r="D56" s="31"/>
      <c r="E56" s="32"/>
      <c r="F56" s="33"/>
      <c r="G56" s="34"/>
      <c r="I56" s="24"/>
    </row>
    <row r="57" spans="1:9" s="23" customFormat="1" ht="15.75" x14ac:dyDescent="0.25">
      <c r="A57" s="29"/>
      <c r="B57" s="45" t="s">
        <v>47</v>
      </c>
      <c r="C57" s="30" t="s">
        <v>68</v>
      </c>
      <c r="D57" s="31"/>
      <c r="E57" s="32"/>
      <c r="F57" s="33"/>
      <c r="G57" s="34"/>
      <c r="I57" s="24"/>
    </row>
    <row r="58" spans="1:9" s="23" customFormat="1" ht="25.5" x14ac:dyDescent="0.25">
      <c r="A58" s="29"/>
      <c r="B58" s="45" t="s">
        <v>48</v>
      </c>
      <c r="C58" s="30" t="s">
        <v>110</v>
      </c>
      <c r="D58" s="31"/>
      <c r="E58" s="32"/>
      <c r="F58" s="33"/>
      <c r="G58" s="104"/>
      <c r="I58" s="24"/>
    </row>
    <row r="59" spans="1:9" ht="30" customHeight="1" x14ac:dyDescent="0.25">
      <c r="A59" s="88"/>
      <c r="B59" s="89" t="s">
        <v>116</v>
      </c>
      <c r="C59" s="86" t="s">
        <v>117</v>
      </c>
      <c r="D59" s="90"/>
      <c r="E59" s="91"/>
      <c r="F59" s="92"/>
      <c r="G59" s="92"/>
    </row>
    <row r="60" spans="1:9" s="23" customFormat="1" ht="15.75" x14ac:dyDescent="0.25">
      <c r="A60" s="35"/>
      <c r="B60" s="51" t="s">
        <v>49</v>
      </c>
      <c r="C60" s="36" t="s">
        <v>50</v>
      </c>
      <c r="D60" s="37"/>
      <c r="E60" s="38"/>
      <c r="F60" s="39"/>
      <c r="G60" s="40"/>
      <c r="I60" s="24"/>
    </row>
    <row r="61" spans="1:9" ht="15.75" x14ac:dyDescent="0.25">
      <c r="A61" s="56" t="s">
        <v>95</v>
      </c>
      <c r="B61" s="113" t="s">
        <v>137</v>
      </c>
      <c r="C61" s="113"/>
      <c r="D61" s="70" t="s">
        <v>97</v>
      </c>
      <c r="E61" s="71">
        <v>1</v>
      </c>
      <c r="F61" s="72">
        <v>10500000</v>
      </c>
      <c r="G61" s="73">
        <f>E61*(F61)</f>
        <v>10500000</v>
      </c>
    </row>
    <row r="62" spans="1:9" x14ac:dyDescent="0.25">
      <c r="A62" s="93"/>
      <c r="B62" s="94"/>
      <c r="C62" s="84" t="s">
        <v>139</v>
      </c>
      <c r="D62" s="94"/>
      <c r="E62" s="95"/>
      <c r="F62" s="96"/>
      <c r="G62" s="95"/>
    </row>
    <row r="63" spans="1:9" s="23" customFormat="1" ht="15.75" x14ac:dyDescent="0.25">
      <c r="A63" s="44"/>
      <c r="B63" s="45" t="s">
        <v>51</v>
      </c>
      <c r="C63" s="30" t="s">
        <v>104</v>
      </c>
      <c r="D63" s="31"/>
      <c r="E63" s="32"/>
      <c r="F63" s="33"/>
      <c r="G63" s="34"/>
      <c r="H63" s="24"/>
    </row>
    <row r="64" spans="1:9" s="23" customFormat="1" ht="15.75" x14ac:dyDescent="0.25">
      <c r="A64" s="44"/>
      <c r="B64" s="45" t="s">
        <v>31</v>
      </c>
      <c r="C64" s="30" t="s">
        <v>106</v>
      </c>
      <c r="D64" s="31"/>
      <c r="E64" s="32"/>
      <c r="F64" s="33"/>
      <c r="G64" s="34"/>
      <c r="H64" s="24"/>
    </row>
    <row r="65" spans="1:9" s="23" customFormat="1" ht="15.75" x14ac:dyDescent="0.25">
      <c r="A65" s="44"/>
      <c r="B65" s="45" t="s">
        <v>37</v>
      </c>
      <c r="C65" s="74" t="s">
        <v>105</v>
      </c>
      <c r="D65" s="31"/>
      <c r="E65" s="32"/>
      <c r="F65" s="33"/>
      <c r="G65" s="34"/>
      <c r="H65" s="24"/>
    </row>
    <row r="66" spans="1:9" s="23" customFormat="1" ht="15.75" x14ac:dyDescent="0.25">
      <c r="A66" s="44"/>
      <c r="B66" s="45" t="s">
        <v>33</v>
      </c>
      <c r="C66" s="30" t="s">
        <v>98</v>
      </c>
      <c r="D66" s="31"/>
      <c r="E66" s="32"/>
      <c r="F66" s="33"/>
      <c r="G66" s="34"/>
      <c r="H66" s="24"/>
    </row>
    <row r="67" spans="1:9" s="23" customFormat="1" ht="15.75" x14ac:dyDescent="0.25">
      <c r="A67" s="44"/>
      <c r="B67" s="45" t="s">
        <v>133</v>
      </c>
      <c r="C67" s="30" t="s">
        <v>134</v>
      </c>
      <c r="D67" s="31"/>
      <c r="E67" s="32"/>
      <c r="F67" s="33"/>
      <c r="G67" s="34"/>
      <c r="H67" s="24"/>
    </row>
    <row r="68" spans="1:9" s="23" customFormat="1" ht="16.5" customHeight="1" x14ac:dyDescent="0.25">
      <c r="A68" s="44"/>
      <c r="B68" s="45" t="s">
        <v>99</v>
      </c>
      <c r="C68" s="30" t="s">
        <v>135</v>
      </c>
      <c r="D68" s="31"/>
      <c r="E68" s="32"/>
      <c r="F68" s="33"/>
      <c r="G68" s="34"/>
      <c r="H68" s="24"/>
    </row>
    <row r="69" spans="1:9" s="69" customFormat="1" ht="32.1" customHeight="1" x14ac:dyDescent="0.2">
      <c r="A69" s="75"/>
      <c r="B69" s="76" t="s">
        <v>100</v>
      </c>
      <c r="C69" s="85" t="s">
        <v>136</v>
      </c>
      <c r="D69" s="77"/>
      <c r="E69" s="78"/>
      <c r="F69" s="77"/>
      <c r="G69" s="78"/>
    </row>
    <row r="70" spans="1:9" s="69" customFormat="1" ht="14.25" customHeight="1" x14ac:dyDescent="0.2">
      <c r="A70" s="75"/>
      <c r="B70" s="76" t="s">
        <v>47</v>
      </c>
      <c r="C70" s="77" t="s">
        <v>68</v>
      </c>
      <c r="D70" s="77"/>
      <c r="E70" s="78"/>
      <c r="F70" s="103"/>
      <c r="G70" s="78"/>
    </row>
    <row r="71" spans="1:9" ht="18.95" customHeight="1" x14ac:dyDescent="0.25">
      <c r="A71" s="79"/>
      <c r="B71" s="80" t="s">
        <v>48</v>
      </c>
      <c r="C71" s="81" t="s">
        <v>101</v>
      </c>
      <c r="D71" s="80"/>
      <c r="E71" s="82"/>
      <c r="F71" s="109"/>
      <c r="G71" s="82"/>
    </row>
    <row r="72" spans="1:9" ht="33" customHeight="1" x14ac:dyDescent="0.25">
      <c r="A72" s="56" t="s">
        <v>96</v>
      </c>
      <c r="B72" s="113" t="s">
        <v>132</v>
      </c>
      <c r="C72" s="113"/>
      <c r="D72" s="70" t="s">
        <v>120</v>
      </c>
      <c r="E72" s="71">
        <v>1</v>
      </c>
      <c r="F72" s="72">
        <v>12000000</v>
      </c>
      <c r="G72" s="105">
        <f>E72*F72</f>
        <v>12000000</v>
      </c>
    </row>
    <row r="73" spans="1:9" s="67" customFormat="1" ht="25.5" x14ac:dyDescent="0.2">
      <c r="A73" s="61"/>
      <c r="B73" s="62"/>
      <c r="C73" s="84" t="s">
        <v>138</v>
      </c>
      <c r="D73" s="63"/>
      <c r="E73" s="64"/>
      <c r="F73" s="65"/>
      <c r="G73" s="66"/>
      <c r="I73" s="68"/>
    </row>
    <row r="74" spans="1:9" ht="15.75" x14ac:dyDescent="0.25">
      <c r="A74" s="97"/>
      <c r="B74" s="98"/>
      <c r="C74" s="22" t="s">
        <v>123</v>
      </c>
      <c r="D74" s="25"/>
      <c r="E74" s="26"/>
      <c r="F74" s="99"/>
      <c r="G74" s="28"/>
    </row>
    <row r="75" spans="1:9" ht="15.75" x14ac:dyDescent="0.25">
      <c r="A75" s="100"/>
      <c r="B75" s="101"/>
      <c r="C75" s="30" t="s">
        <v>124</v>
      </c>
      <c r="D75" s="31"/>
      <c r="E75" s="32"/>
      <c r="F75" s="102"/>
      <c r="G75" s="34"/>
    </row>
    <row r="76" spans="1:9" ht="15.75" x14ac:dyDescent="0.25">
      <c r="A76" s="100"/>
      <c r="B76" s="101"/>
      <c r="C76" s="30" t="s">
        <v>125</v>
      </c>
      <c r="D76" s="31"/>
      <c r="E76" s="32"/>
      <c r="F76" s="102"/>
      <c r="G76" s="34"/>
    </row>
    <row r="77" spans="1:9" ht="15.75" x14ac:dyDescent="0.25">
      <c r="A77" s="100"/>
      <c r="B77" s="101"/>
      <c r="C77" s="30" t="s">
        <v>126</v>
      </c>
      <c r="D77" s="31"/>
      <c r="E77" s="32"/>
      <c r="F77" s="102"/>
      <c r="G77" s="34"/>
    </row>
    <row r="78" spans="1:9" ht="18" customHeight="1" x14ac:dyDescent="0.25">
      <c r="A78" s="106"/>
      <c r="B78" s="107"/>
      <c r="C78" s="36" t="s">
        <v>127</v>
      </c>
      <c r="D78" s="37"/>
      <c r="E78" s="38"/>
      <c r="F78" s="108"/>
      <c r="G78" s="40"/>
    </row>
    <row r="79" spans="1:9" ht="15.75" x14ac:dyDescent="0.25">
      <c r="A79" s="6" t="s">
        <v>19</v>
      </c>
      <c r="B79" s="7"/>
      <c r="C79" s="7"/>
      <c r="D79" s="7"/>
      <c r="E79" s="1"/>
      <c r="F79" s="8"/>
      <c r="G79" s="1"/>
    </row>
    <row r="80" spans="1:9" x14ac:dyDescent="0.25">
      <c r="A80" s="41" t="s">
        <v>5</v>
      </c>
      <c r="B80" s="110" t="s">
        <v>60</v>
      </c>
      <c r="C80" s="110"/>
      <c r="D80" s="110"/>
      <c r="E80" s="110"/>
      <c r="F80" s="110"/>
      <c r="G80" s="110"/>
    </row>
    <row r="81" spans="1:7" ht="15" customHeight="1" x14ac:dyDescent="0.25">
      <c r="A81" s="41" t="s">
        <v>6</v>
      </c>
      <c r="B81" s="110" t="s">
        <v>23</v>
      </c>
      <c r="C81" s="110"/>
      <c r="D81" s="110"/>
      <c r="E81" s="110"/>
      <c r="F81" s="110"/>
      <c r="G81" s="110"/>
    </row>
    <row r="82" spans="1:7" ht="15" customHeight="1" x14ac:dyDescent="0.25">
      <c r="A82" s="41" t="s">
        <v>7</v>
      </c>
      <c r="B82" s="9" t="s">
        <v>121</v>
      </c>
      <c r="C82" s="13"/>
      <c r="D82" s="13"/>
      <c r="E82" s="13"/>
      <c r="F82" s="13"/>
      <c r="G82" s="14"/>
    </row>
    <row r="83" spans="1:7" x14ac:dyDescent="0.25">
      <c r="A83" s="41" t="s">
        <v>8</v>
      </c>
      <c r="B83" s="9" t="s">
        <v>26</v>
      </c>
      <c r="C83" s="17"/>
      <c r="D83" s="17"/>
      <c r="E83" s="17"/>
      <c r="F83" s="17"/>
      <c r="G83" s="17"/>
    </row>
    <row r="84" spans="1:7" x14ac:dyDescent="0.25">
      <c r="A84" s="41" t="s">
        <v>9</v>
      </c>
      <c r="B84" s="9" t="s">
        <v>28</v>
      </c>
      <c r="C84" s="18"/>
      <c r="D84" s="18"/>
      <c r="E84" s="18"/>
      <c r="F84" s="18"/>
      <c r="G84" s="18"/>
    </row>
    <row r="85" spans="1:7" x14ac:dyDescent="0.25">
      <c r="A85" s="41" t="s">
        <v>10</v>
      </c>
      <c r="B85" s="9" t="s">
        <v>21</v>
      </c>
      <c r="C85" s="10"/>
      <c r="D85" s="11"/>
      <c r="E85" s="12"/>
      <c r="F85" s="11"/>
      <c r="G85" s="12"/>
    </row>
    <row r="86" spans="1:7" ht="15" customHeight="1" x14ac:dyDescent="0.25">
      <c r="A86" s="13" t="s">
        <v>3</v>
      </c>
      <c r="B86" s="13"/>
      <c r="C86" s="13"/>
      <c r="D86" s="13"/>
      <c r="E86" s="13"/>
      <c r="F86" s="13"/>
      <c r="G86" s="13"/>
    </row>
    <row r="87" spans="1:7" ht="15.75" x14ac:dyDescent="0.25">
      <c r="A87" s="16" t="s">
        <v>20</v>
      </c>
      <c r="B87" s="15"/>
      <c r="C87" s="15"/>
      <c r="D87" s="15"/>
      <c r="E87" s="15"/>
      <c r="F87" s="15"/>
      <c r="G87" s="15"/>
    </row>
    <row r="88" spans="1:7" ht="15.75" x14ac:dyDescent="0.25">
      <c r="A88" s="16"/>
      <c r="B88" s="15"/>
      <c r="C88" s="15"/>
      <c r="D88" s="15"/>
      <c r="E88" s="15"/>
      <c r="F88" s="15"/>
      <c r="G88" s="15"/>
    </row>
    <row r="89" spans="1:7" ht="15.75" x14ac:dyDescent="0.25">
      <c r="A89" s="16"/>
      <c r="B89" s="15"/>
      <c r="C89" s="15"/>
      <c r="D89" s="15"/>
      <c r="E89" s="15"/>
      <c r="F89" s="15"/>
      <c r="G89" s="15"/>
    </row>
    <row r="90" spans="1:7" ht="15.75" x14ac:dyDescent="0.25">
      <c r="A90" s="16"/>
      <c r="B90" s="15"/>
      <c r="C90" s="15"/>
      <c r="D90" s="15"/>
      <c r="E90" s="15"/>
      <c r="F90" s="15"/>
      <c r="G90" s="15"/>
    </row>
    <row r="91" spans="1:7" ht="15.75" x14ac:dyDescent="0.25">
      <c r="A91" s="15"/>
      <c r="B91" s="15"/>
      <c r="C91" s="15"/>
      <c r="D91" s="15"/>
      <c r="E91" s="15"/>
      <c r="F91" s="15"/>
      <c r="G91" s="15"/>
    </row>
    <row r="92" spans="1:7" ht="15.75" x14ac:dyDescent="0.25">
      <c r="A92" s="16" t="s">
        <v>129</v>
      </c>
      <c r="B92" s="15"/>
      <c r="C92" s="15"/>
      <c r="D92" s="15"/>
      <c r="E92" s="15"/>
      <c r="F92" s="15"/>
      <c r="G92" s="15"/>
    </row>
    <row r="93" spans="1:7" ht="15.75" x14ac:dyDescent="0.25">
      <c r="A93" s="15" t="s">
        <v>130</v>
      </c>
      <c r="B93" s="15"/>
      <c r="C93" s="15"/>
      <c r="D93" s="15"/>
      <c r="E93" s="15"/>
      <c r="F93" s="15"/>
      <c r="G93" s="15"/>
    </row>
    <row r="94" spans="1:7" x14ac:dyDescent="0.25">
      <c r="A94" s="13" t="s">
        <v>131</v>
      </c>
      <c r="B94" s="13"/>
      <c r="C94" s="13"/>
      <c r="D94" s="13"/>
      <c r="E94" s="13"/>
      <c r="F94" s="13"/>
      <c r="G94" s="14"/>
    </row>
  </sheetData>
  <mergeCells count="20">
    <mergeCell ref="D1:G1"/>
    <mergeCell ref="A5:G5"/>
    <mergeCell ref="A6:C6"/>
    <mergeCell ref="D6:G6"/>
    <mergeCell ref="D7:G7"/>
    <mergeCell ref="D2:G2"/>
    <mergeCell ref="D3:G3"/>
    <mergeCell ref="D4:G4"/>
    <mergeCell ref="B80:G80"/>
    <mergeCell ref="B81:G81"/>
    <mergeCell ref="D8:G8"/>
    <mergeCell ref="B8:C8"/>
    <mergeCell ref="B50:C50"/>
    <mergeCell ref="B22:C22"/>
    <mergeCell ref="B11:C11"/>
    <mergeCell ref="B10:C10"/>
    <mergeCell ref="B29:C29"/>
    <mergeCell ref="B61:C61"/>
    <mergeCell ref="B72:C72"/>
    <mergeCell ref="B42:C42"/>
  </mergeCells>
  <printOptions horizontalCentered="1"/>
  <pageMargins left="0.23622047244094491" right="0.23622047244094491" top="0.19685039370078741" bottom="0.23622047244094491" header="0.23622047244094491" footer="0.19685039370078741"/>
  <pageSetup paperSize="9" scale="8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KIOSK thong tin</vt:lpstr>
      <vt:lpstr>'KIOSK thong tin'!Print_Area</vt:lpstr>
    </vt:vector>
  </TitlesOfParts>
  <Company>LGEVN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WindowsMT</dc:creator>
  <cp:lastModifiedBy>Tran Le Quang Huy</cp:lastModifiedBy>
  <cp:lastPrinted>2024-08-06T06:35:17Z</cp:lastPrinted>
  <dcterms:created xsi:type="dcterms:W3CDTF">2016-11-22T04:04:05Z</dcterms:created>
  <dcterms:modified xsi:type="dcterms:W3CDTF">2026-03-14T09:20:49Z</dcterms:modified>
</cp:coreProperties>
</file>
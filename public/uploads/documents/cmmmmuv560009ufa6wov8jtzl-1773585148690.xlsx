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ông việc\Audio Huain\BoQ GP\Nhà Nước\"/>
    </mc:Choice>
  </mc:AlternateContent>
  <xr:revisionPtr revIDLastSave="0" documentId="8_{7C4D9A1B-3261-4071-9626-703D94FC81B3}" xr6:coauthVersionLast="47" xr6:coauthVersionMax="47" xr10:uidLastSave="{00000000-0000-0000-0000-000000000000}"/>
  <bookViews>
    <workbookView xWindow="-108" yWindow="-108" windowWidth="23256" windowHeight="13176" xr2:uid="{00000000-000D-0000-FFFF-FFFF00000000}"/>
  </bookViews>
  <sheets>
    <sheet name="DM Thiết bị"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63" i="1" l="1"/>
  <c r="H163" i="1" s="1"/>
  <c r="G126" i="1"/>
  <c r="H126" i="1" s="1"/>
  <c r="G100" i="1" l="1"/>
  <c r="H100" i="1" s="1"/>
  <c r="G86" i="1"/>
  <c r="H86" i="1" s="1"/>
  <c r="H58" i="1"/>
  <c r="G23" i="1"/>
  <c r="H23" i="1" s="1"/>
  <c r="G4" i="1"/>
  <c r="H4" i="1" s="1"/>
  <c r="H72" i="1" l="1"/>
  <c r="H171" i="1" l="1"/>
</calcChain>
</file>

<file path=xl/sharedStrings.xml><?xml version="1.0" encoding="utf-8"?>
<sst xmlns="http://schemas.openxmlformats.org/spreadsheetml/2006/main" count="204" uniqueCount="194">
  <si>
    <t>TT</t>
  </si>
  <si>
    <t>Loại thiết bị</t>
  </si>
  <si>
    <t>Yêu cầu đặc tính kỹ thuật</t>
  </si>
  <si>
    <t>II</t>
  </si>
  <si>
    <t>Máy lấy số thứ tự dạng kiosk</t>
  </si>
  <si>
    <t>Máy in số</t>
  </si>
  <si>
    <t>Phần mềm hệ thống</t>
  </si>
  <si>
    <t>Thành tiền</t>
  </si>
  <si>
    <t>Đơn giá</t>
  </si>
  <si>
    <t>Bộ</t>
  </si>
  <si>
    <t>ĐVT</t>
  </si>
  <si>
    <t>SL</t>
  </si>
  <si>
    <t>Cái</t>
  </si>
  <si>
    <t>Tủ</t>
  </si>
  <si>
    <t>B</t>
  </si>
  <si>
    <t>Giá bao gồm VAT</t>
  </si>
  <si>
    <t>cái</t>
  </si>
  <si>
    <t xml:space="preserve">DANH MỤC THIẾT BỊ TẠI TRUNG TÂM PHỤC VỤ HÀNH CHÍNH CÔNG
</t>
  </si>
  <si>
    <t>- Kích thước 55 inch LED</t>
  </si>
  <si>
    <t>- Độ phân giải Ultra HD: 3840 x 2160, Tỷ lệ 16:9</t>
  </si>
  <si>
    <t>- Góc nhìn ngang 178 độ, dọc: 178 độ</t>
  </si>
  <si>
    <t>- Độ sáng tấm nền: 350cd/m2</t>
  </si>
  <si>
    <t>- Độ tương phản tĩnh: 3000 : 1</t>
  </si>
  <si>
    <t xml:space="preserve">- Số lượng màu hiển thị: 1.07 tỷ màu </t>
  </si>
  <si>
    <t>- Kích thước hiển thị: 55 inch (~1211.6  x 682.5 mm)</t>
  </si>
  <si>
    <t>- Thời gian đáp ứng: 8ms</t>
  </si>
  <si>
    <t>- Cổng kết nối: USB 2.0 (2), HDMI, Audio, RJ45</t>
  </si>
  <si>
    <t>-  Wifi 802.11gbn</t>
  </si>
  <si>
    <t>- Tích hợp loa 10W song kênh (2x5W)</t>
  </si>
  <si>
    <t>- Android 11, Cortex QuadCore A55, RAM 2GB, Flash 32GB</t>
  </si>
  <si>
    <t>- Có khe cắm SIM 4G</t>
  </si>
  <si>
    <t>- Phần mềm quản trị nội dung tập trung - Miễn phí 12 tháng</t>
  </si>
  <si>
    <t>- Chuẩn hình ảnh, video hỗ trợ: Video: MPEG 1/2/4, AVI, DIVX, XDIV, WMV9, H.264, MOV, MKV, MP4, TS, VOB
Âm thanh: MP3, WMA, WAV, AC3; Ảnh: BMP/ PNG/ GIF/JPEG</t>
  </si>
  <si>
    <t>- Điều khiển phát USB từ xa qua cloud</t>
  </si>
  <si>
    <t>- Lắp ráp: tại Việt Nam theo tiêu chuẩn ISO 9001:2015, ISO 14001:2015, ISO/IEC 27001:2022, ISO 45001:2018, ISO 50001:2018, SA8000:2014</t>
  </si>
  <si>
    <t>Bộ máy Kiosk (ARIRANG 24K51)</t>
  </si>
  <si>
    <t>Chất liệu : Tấm mạ kẽm, sơn phun bề mặt</t>
  </si>
  <si>
    <t>Cấu hình hệ thống (PC tích hợp)</t>
  </si>
  <si>
    <t>Cổng kết nối ngoại vi thùng máy : VGA(out), HDMI(out), USB, RJ45, Audio output, Anten</t>
  </si>
  <si>
    <t>i5-11400 , DDRAM 8GB , SSD 256GB 
Hỗ trợ phiên bản Windows thương mại Win10
Wifi 802.11 b/g/n</t>
  </si>
  <si>
    <t>Cảm ứng điện dung đa điểm</t>
  </si>
  <si>
    <t>Màn hình : 23.8 inch, 16:9</t>
  </si>
  <si>
    <t>Độ phân giải : 1920 x 1080</t>
  </si>
  <si>
    <t>Độ sáng : Tiêu chuẩn 200cd / cm2</t>
  </si>
  <si>
    <t>Góc nhìn : 170 độ/ 170 độ (ngang/ dọc)</t>
  </si>
  <si>
    <t>Số lượng màu : 16.7 triệu màu</t>
  </si>
  <si>
    <t>Phản hồi : 12ms</t>
  </si>
  <si>
    <t>Độ tương phản : 1000：1</t>
  </si>
  <si>
    <t>Phương pháp in: In nhiệt</t>
  </si>
  <si>
    <t>Tốc độ in : tối đa 150mm/s</t>
  </si>
  <si>
    <t>Chiều rộng giấy: 58± 0.5 mm</t>
  </si>
  <si>
    <t>Độ dày giấy: 60~120um</t>
  </si>
  <si>
    <t>Cách đặt giấy: Tự động nạp giấy</t>
  </si>
  <si>
    <t>Cách đặt giấy: Hút từ tính, thay giấy phía trước</t>
  </si>
  <si>
    <t>Phương pháp cắt giấy: Xé tay</t>
  </si>
  <si>
    <t>Độ dài tối đa của bản in: 100KM</t>
  </si>
  <si>
    <t>Tuổi thọ cắt giấy: 1 triệu lần</t>
  </si>
  <si>
    <t>Tốc độ truyền in: 9.600, 19.200, 38.400, 115.200</t>
  </si>
  <si>
    <t>Màn hình cảm ứng</t>
  </si>
  <si>
    <t>Camera AI</t>
  </si>
  <si>
    <t>Chip : Bộ nhớ 64MB, flash 16MB, Linux</t>
  </si>
  <si>
    <t>Cảm biến hình ảnh: 1/2.8 black light CMOS sensor; color 0.0001Lux@F1.2, black and white 0.0001Lux@F1.2</t>
  </si>
  <si>
    <t>Chức năng AI: Hỗ trợ phát hiện hình dạng người, nhận diện khuôn mặt, phát hiện hình dạng xe, hỗ trợ tùy chỉnh các chức năng thông minh khác</t>
  </si>
  <si>
    <t>Khung hình: 2560*1440@15fps+640*360@20fps</t>
  </si>
  <si>
    <t>Tính năng : Hỗ trợ cấu hình WEB, OSD, phát hiện chuyển động; sau khi cảnh báo phát hiện chuyển động, trung tâm sẽ nhắc nhở và màn hình bật lên để liên kết; hỗ trợ chụp FTP; hỗ trợ khách hàng từ xa</t>
  </si>
  <si>
    <t>Trình đọc QR code</t>
  </si>
  <si>
    <t xml:space="preserve"> Chế độ đọc và ghi: 640x480 CMOS</t>
  </si>
  <si>
    <t xml:space="preserve"> Cổng kết nối: USB</t>
  </si>
  <si>
    <t>Hệ thống mã nhận diện: 2D: PDF 417, Data Maxtrix, QR code    
1D: EAN-8, UPC-A, UPC-E, CODE 11, CODE 39...</t>
  </si>
  <si>
    <t>Chế độ nhận dạng: Nhận dạng cảm ứng, nhận dạng liên tục</t>
  </si>
  <si>
    <t>Độ chính xác nhận dạng: 10mil</t>
  </si>
  <si>
    <t>Góc nhìn (vùng xem): Góc nghiêng: 68,  ngang: 42, dọc: 54</t>
  </si>
  <si>
    <t>tại Việt Nam theo tiêu chuẩn ISO 9001:2015, ISO 14001:2015, ISO 45001; ISO 50001; SA8000:2014; ISO/IEC 27001:2022</t>
  </si>
  <si>
    <t>Lắp ráp</t>
  </si>
  <si>
    <t>Hệ thống</t>
  </si>
  <si>
    <t>HỆ THỐNG BẤM SỐ TỰ ĐỘNG</t>
  </si>
  <si>
    <t>Màn hình tra cứu thông tin 55 INCH ARIRANG 55WFA51</t>
  </si>
  <si>
    <t>Độ phân giải : 1280×800</t>
  </si>
  <si>
    <t>Màn hình LCD cảm ứng chuyên dụng TVTech VDS-TW10 tích hợp phần mềm đánh giá hài lòng</t>
  </si>
  <si>
    <t>Góc nhìn : 85/85/85/85(L/R/U/D)</t>
  </si>
  <si>
    <t>Độ sáng : 300 cd/m2</t>
  </si>
  <si>
    <t>Độ tương phản: 800:1</t>
  </si>
  <si>
    <t>Tỉ lệ màn hình : 16:9/ Display area : 217×135mm</t>
  </si>
  <si>
    <t>CPU : Rockchip RK3568 Quad Core Processor, Clock 1.4G</t>
  </si>
  <si>
    <t xml:space="preserve">RAM: 4GB </t>
  </si>
  <si>
    <t>ROM : 64G</t>
  </si>
  <si>
    <t>Hệ điều hành : Android 11</t>
  </si>
  <si>
    <t>Kích thước : Màn hình cảm ứng 10.1" IPS screen</t>
  </si>
  <si>
    <t>Microphone : One microphones</t>
  </si>
  <si>
    <t>Loa : 2×2W speakers</t>
  </si>
  <si>
    <t>Camera : Standard 2.0MP pixel camera</t>
  </si>
  <si>
    <t>Màn hình hiển thị quay số SMART TIVI 65 INCH ARIRANG 65UN22</t>
  </si>
  <si>
    <t>- Kích thước 65 inch, công nghệ D-LED (hỗ trợ Dimming)</t>
  </si>
  <si>
    <t>- Độ phân giải 4K UHD: 3840 x 2160, tỉ lệ: 16:9, phát usb qua cloud</t>
  </si>
  <si>
    <t>- Tích hợp bộ truyền hình số DVB-T2</t>
  </si>
  <si>
    <t>- Độ sáng tấm nền thực tế: 300 cd/m2</t>
  </si>
  <si>
    <t>- Độ tương phản: 5.000 : 1; hỗ trợ chế độ tương phản động</t>
  </si>
  <si>
    <t>- Số lượng màu hiển thị: 1.07 tỷ màu</t>
  </si>
  <si>
    <t>- Thời gian đáp ứng: 5ms</t>
  </si>
  <si>
    <t>- Hỗ trợ điều chỉnh Backlight</t>
  </si>
  <si>
    <t>- Cổng kết nối tiêu chuẩn: Tivi, HDMI 2.0, HDMI 2.0 (eARC), HDMI (UART); CVBS, CVBS/YPbPr/ Audio (L/R), USB (2), Headphone/EarPhone (Jack 3.5mm), LAN (RJ-45),  Audio Digital/COAX out, RS-232</t>
  </si>
  <si>
    <t>- Bo mạch chủ hỗ trợ sẵn DVB-S2, AV-In 2 (có thể mở rộng trong tương lai tuỳ theo nhu cầu)</t>
  </si>
  <si>
    <t>- Tích hợp Wifi thế hệ 6, 2 băng tần (2.4GHz + 5GHz)+ Bluetooth 5.1</t>
  </si>
  <si>
    <t>- Tính năng tìm kiếm bằng giọng nói, hỗ trợ google Assistant, phát nội dung từ USB gắn trên tivi qua đám mây</t>
  </si>
  <si>
    <t>- Ứng dụng tivi phổ biến: MyTV, NetFlix, VTVCabON, Youtube, Youtube KIDs, ZingTV, FPT Play, ClipTV</t>
  </si>
  <si>
    <t>- Loa tích hợp: 40W (2 loa toàn dải, 2 loa treble, 2 loa bass, 2 ống khuếch đại)</t>
  </si>
  <si>
    <t>- Tích hợp Android 13 Ultra HD, Bộ xử lý QuadCore Cortex A55 (1.9GHz), RAM  2GB (vật lý), Flash 32GB (không SWAP)</t>
  </si>
  <si>
    <t>- Tính năng thông minh</t>
  </si>
  <si>
    <t xml:space="preserve">  + Tích hợp trên firmware phần mềm quản trị nội dung hiển thị từ xa CIF thông qua giải pháp Cloud phù hợp cho ban quản trị gởi thông báo từ xa đến các đơn vị; hỗ trợ tiếng việt (có chứng nhận của cục SHTT)</t>
  </si>
  <si>
    <t xml:space="preserve">  + Tích hợp trên firmware phần mềm tắt tivi từ xa thông qua cloud CIF</t>
  </si>
  <si>
    <t xml:space="preserve">  + Cho phép ứng dụng signage tự khởi tạo.</t>
  </si>
  <si>
    <t xml:space="preserve">  + Tính năng đặc biệt: Khoá ứng dụng, khoá menu, khoá bàn phím, USB hỗ trợ phát lại video, hình ảnh;</t>
  </si>
  <si>
    <t>- Hình ảnh: hỗ trợ 4k, HDR10</t>
  </si>
  <si>
    <t>- Cho phép hiển thị hình ảnh: Chiếu qua gương (Mirror), Trái - Phải, Trên - Dưới, Bình thường</t>
  </si>
  <si>
    <t>- Đáp ứng các tiêu chí về: OHSMS, EnSM, đáp ứng các tiêu chí của SAI</t>
  </si>
  <si>
    <t>- Lắp ráp: tại Việt Nam theo tiêu chuẩn ISO 9001:2015, ISO 14001:2015, ISO/IEC 27001: 2022; QCVN 54:2020; QCVN 65:2021; TCVN 9536:2012; TCVN 9537:2012</t>
  </si>
  <si>
    <t>Hệ thống âm thanh thông báo trả kết quả: Tăng âm HY-KU150 + Loa HY-ES06 + Micro đa hướng HY-630D</t>
  </si>
  <si>
    <t xml:space="preserve">Tăng âm liền mixer </t>
  </si>
  <si>
    <t>Tích hợp tính năng chống hú</t>
  </si>
  <si>
    <t>Hỗ trợ đầu vào đa kênh và chức năng đầu ra ghi âm</t>
  </si>
  <si>
    <t>Màn hình hiển thị phía trước có chức năng truy cập phát lại âm thanh USB-MP3UP, truy cập âm thanh Bluetooth và radio FM, hiệu suất mạnh mẽ;</t>
  </si>
  <si>
    <t xml:space="preserve">Hỗ trợ 3 đầu vào nguồn ảo 48V </t>
  </si>
  <si>
    <t>4 nhóm đầu ra loa có thể kết nối 4 loa cùng lúc</t>
  </si>
  <si>
    <t>Công suất đầu ra (8Ω): 150W+150W; Công suất đầu ra (4Ω): 300W+300W;</t>
  </si>
  <si>
    <t>Độ méo tiếng: &lt;0,01%</t>
  </si>
  <si>
    <t>Đáp tuyến tần số: 5Hz-50KHz±3dB</t>
  </si>
  <si>
    <t>Tỷ lệ tín hiệu trên nhiễu: -103dB</t>
  </si>
  <si>
    <t>Độ nhạy đầu vào âm thanh: 0,70/50KΩ</t>
  </si>
  <si>
    <t>Độ nhạy đầu vào video: 1Vp-p/75Ω</t>
  </si>
  <si>
    <t>Đầu ra âm thanh phụ: 0,70V/50KΩ</t>
  </si>
  <si>
    <t>Đầu ra video: 1Vp-p/75"</t>
  </si>
  <si>
    <t>Loa hai chiều 6,5" WF + 1" HF</t>
  </si>
  <si>
    <t>Loa treo tường</t>
  </si>
  <si>
    <t>Trình điều khiển tần số cao: Trình điều khiển nén 1×6,5" với cuộn dây âm thanh 35mm</t>
  </si>
  <si>
    <t>Trình điều khiển tần số thấp: 1 trình điều khiển nén cuộn dây âm thanh 25mm.</t>
  </si>
  <si>
    <t>Đáp ứng tần số: 95Hz-17KHz (±3dB).</t>
  </si>
  <si>
    <t>Công suất định mức: 60W (liên tục), 240W (đỉnh).</t>
  </si>
  <si>
    <t>Mức áp suất âm thanh: 117dB (ở 1 mét).</t>
  </si>
  <si>
    <t>Trở kháng danh định: 8Ω.</t>
  </si>
  <si>
    <t>Dải đầu nối chắn 4 vị trí.</t>
  </si>
  <si>
    <t>Tiêu chuẩn chống nước: IP66</t>
  </si>
  <si>
    <t>Được trang bị dây an toàn.</t>
  </si>
  <si>
    <t>Công suất 12,5/25/50W @ 100V/8Ω đầu vào.</t>
  </si>
  <si>
    <t>Độ nhạy : 93dB (1W/1M)</t>
  </si>
  <si>
    <t>Micro cổ ngỗng</t>
  </si>
  <si>
    <t>Đầu thu 9.7mm mạ vàng điện dung</t>
  </si>
  <si>
    <t>Hiệu ứng tần số 30Hz—20KHz</t>
  </si>
  <si>
    <t>Độ nhạy -40dB±2dB</t>
  </si>
  <si>
    <t>Độ hướng tâm</t>
  </si>
  <si>
    <t>Tỷ lệ tín hiệu trên nhiễu &gt;82dB</t>
  </si>
  <si>
    <t>Trở kháng đầu ra 200Ω</t>
  </si>
  <si>
    <t>Mức áp suất âm thanh tối đa 125dB</t>
  </si>
  <si>
    <t>Độ ồn tương đương 16dB</t>
  </si>
  <si>
    <t>Điện áp hoạt động 48V DC</t>
  </si>
  <si>
    <t>Thiết kế độ nhạy cao, có chức năng tự động tăng AGC</t>
  </si>
  <si>
    <t>Áp dụng công nghệ chống nhiễu kỹ thuật số mạnh mẽ để đảm bảo thiết bị tại địa điểm không bị nhiễu bởi tín hiệu từ điện thoại di động, Bluetooth, radio, WiFi, v.v.</t>
  </si>
  <si>
    <t>Kích thước : H2050 x W600 x D1000 mm</t>
  </si>
  <si>
    <t>TỦ HTT RACK 19" 42U-D1000</t>
  </si>
  <si>
    <t>Màu sắc : Đen - Sơn Tĩnh Điện</t>
  </si>
  <si>
    <t>Cửa trước : Lưới</t>
  </si>
  <si>
    <t>Cửa sau : Tấm nguyên khối</t>
  </si>
  <si>
    <t>Quạt tản nhiệt : 02 Cái</t>
  </si>
  <si>
    <t>Ổ điện : 01 Cái 6 Port</t>
  </si>
  <si>
    <t>Ốc cài : 36 Bộ</t>
  </si>
  <si>
    <t>+ Khả năng mở rộng không hạn chế số lượng máy khảo sát đánh giá hài lòng khách hàng;</t>
  </si>
  <si>
    <t>+ Đa dạng hình thức đánh giá</t>
  </si>
  <si>
    <t>+ Câu hỏi khảo sát hỗ trợ câu hỏi phụ.</t>
  </si>
  <si>
    <t>+ Cơ chế kiểm soát đánh giá theo yêu cầu của khách hàng.</t>
  </si>
  <si>
    <t>+ Mỗi màn hình đánh giá tương ứng với quầy đang phục vụ;</t>
  </si>
  <si>
    <t>+ Chạy trên mọi nền tảng (Hệ điều hành) PC, Kiosk cảm ứng, Tablet, ...;</t>
  </si>
  <si>
    <t>+ Module hiển thị: Hoạt động trên màn hình cảm ứng (Tablet) đặt tại mỗi quầy phục vụ;</t>
  </si>
  <si>
    <t>+ Module Quản trị: Quản lý hệ thống; Màn hình quản trị, báo cáo thống kê chuyên nghiệp;</t>
  </si>
  <si>
    <t>+ Sẵn sàn API chia sẻ thông tin thống kê với các hệ thống khác</t>
  </si>
  <si>
    <t>+ Hỗ trợ ngôn ngữ: Việt - Anh;</t>
  </si>
  <si>
    <t>+ Tích hợp chức năng hỗ trợ người dùng điền phiếu khảo sát trực tiếp trên thiết bị hoặc quét mã QR để truy cập phiếu khảo sát thông qua chức năng khảo sát của DVC tỉnh.</t>
  </si>
  <si>
    <t>+ Đảm bảo an toàn và bảo mật thông tin người dùng.</t>
  </si>
  <si>
    <t>+ Có khả năng nhúng và sử dụng hệ thống đánh giá hài lòng của hệ thống GQTTHC Thành phố/Tỉnh khi có nhu cầu.</t>
  </si>
  <si>
    <t xml:space="preserve"> - Khu vực dịch vụ: 1 (Có thể mở rộng đa khu vực *); </t>
  </si>
  <si>
    <t xml:space="preserve">- Số lượng Kiosk lấy số thứ tự: &lt;= 2 Kiosks (Có thể mở rộng*); </t>
  </si>
  <si>
    <t>Các Module</t>
  </si>
  <si>
    <t>+ Module Hiển thị thông tin trung tâm (iOSApp/AndroidApp/WebApp): Màn hình (TV/ TVAndroid) hỗ trợ kết nối LAN/WIFI;</t>
  </si>
  <si>
    <t>+ Module Hiển thị số quầy phục vụ (iOSApp/AndroidApp/WebApp): Màn hình  (TV/ TVAndroid) hỗ trợ kết nối LAN/WIFI;</t>
  </si>
  <si>
    <t>+ Module Quầy giao dịch/gọi số: Được chạy trên tablet hoặc windows pc của giao dịch viên;</t>
  </si>
  <si>
    <t>+ Module KIOSK lấy số: Vận hành trên KIOSK,màn hình cảm ứng, hệ điều hành Windows;</t>
  </si>
  <si>
    <t>+ Module Quản trị: Quản lý hệ thống; Quản lý tình hình cấp số thứ tự; Theo dõi tiến độ giải quyết hồ sơ các phiên lấy số; Thống kê, báo cáo dữ liệu;</t>
  </si>
  <si>
    <t>+ Module QR reader: Đọc mã QR và xử lý theo nghiệp vụ;</t>
  </si>
  <si>
    <t>+ Quản lý và giám sát hoạt động của kiosk từ xa.</t>
  </si>
  <si>
    <t>Phần mềm hệ thống xếp hàng tự động QMS Caller</t>
  </si>
  <si>
    <t>- Màn hình cảm ứng đa điểm (10 điểm); độ cứng 7H; độ chính xác ≤ 2mm</t>
  </si>
  <si>
    <t>KCT</t>
  </si>
  <si>
    <t>Ghi chú</t>
  </si>
  <si>
    <t>VAT</t>
  </si>
  <si>
    <t>- Số lượng quầy dịch vụ: lên đến 15 quầy;</t>
  </si>
  <si>
    <t>Phần mềm đánh giá hài long - phân hệ đánh giá hài long tại quầy (11 quầy)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</si>
</sst>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63"/>
      <scheme val="minor"/>
    </font>
    <font>
      <sz val="12"/>
      <color theme="1"/>
      <name val="Times New Roman"/>
      <family val="1"/>
    </font>
    <font>
      <b/>
      <sz val="12"/>
      <color theme="1"/>
      <name val="Times New Roman"/>
      <family val="1"/>
    </font>
    <font>
      <b/>
      <sz val="12"/>
      <name val="Times New Roman"/>
      <family val="1"/>
    </font>
    <font>
      <sz val="12"/>
      <name val="Times New Roman"/>
      <family val="1"/>
    </font>
    <font>
      <sz val="12"/>
      <color rgb="FF000000"/>
      <name val="Times New Roman"/>
      <family val="1"/>
    </font>
    <font>
      <sz val="10"/>
      <name val="Arial"/>
      <family val="2"/>
    </font>
    <font>
      <i/>
      <sz val="12"/>
      <name val="Times New Roman"/>
      <family val="1"/>
    </font>
  </fonts>
  <fills count="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19">
    <border>
      <left/>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style="thin">
        <color indexed="64"/>
      </bottom>
      <diagonal/>
    </border>
    <border>
      <left style="thin">
        <color indexed="64"/>
      </left>
      <right/>
      <top style="double">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double">
        <color indexed="64"/>
      </left>
      <right style="thin">
        <color indexed="64"/>
      </right>
      <top/>
      <bottom/>
      <diagonal/>
    </border>
    <border>
      <left style="double">
        <color indexed="64"/>
      </left>
      <right style="double">
        <color indexed="64"/>
      </right>
      <top style="double">
        <color indexed="64"/>
      </top>
      <bottom style="double">
        <color indexed="64"/>
      </bottom>
      <diagonal/>
    </border>
  </borders>
  <cellStyleXfs count="2">
    <xf numFmtId="0" fontId="0" fillId="0" borderId="0"/>
    <xf numFmtId="0" fontId="6" fillId="0" borderId="0"/>
  </cellStyleXfs>
  <cellXfs count="93">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4" xfId="0"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6" xfId="0" applyFont="1" applyBorder="1" applyAlignment="1">
      <alignment horizontal="center" vertical="center" wrapText="1"/>
    </xf>
    <xf numFmtId="0" fontId="5" fillId="0" borderId="14" xfId="0" quotePrefix="1" applyFont="1" applyBorder="1" applyAlignment="1">
      <alignment horizontal="left" vertical="center" wrapText="1"/>
    </xf>
    <xf numFmtId="0" fontId="1"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2" fillId="5" borderId="13" xfId="0" quotePrefix="1" applyFont="1" applyFill="1" applyBorder="1" applyAlignment="1">
      <alignment horizontal="left" vertical="center" wrapText="1"/>
    </xf>
    <xf numFmtId="0" fontId="1" fillId="5" borderId="4" xfId="0" applyFont="1" applyFill="1" applyBorder="1" applyAlignment="1">
      <alignment horizontal="center" vertical="center" wrapText="1"/>
    </xf>
    <xf numFmtId="0" fontId="1" fillId="0" borderId="0" xfId="0" applyFont="1"/>
    <xf numFmtId="3" fontId="1" fillId="0" borderId="4" xfId="0" applyNumberFormat="1" applyFont="1" applyBorder="1" applyAlignment="1">
      <alignment horizontal="right" vertical="center"/>
    </xf>
    <xf numFmtId="3" fontId="1" fillId="0" borderId="5" xfId="0" applyNumberFormat="1" applyFont="1" applyBorder="1" applyAlignment="1">
      <alignment horizontal="right" vertical="center"/>
    </xf>
    <xf numFmtId="3" fontId="1" fillId="0" borderId="13" xfId="0" applyNumberFormat="1" applyFont="1" applyBorder="1" applyAlignment="1">
      <alignment horizontal="right" vertical="center"/>
    </xf>
    <xf numFmtId="3" fontId="1" fillId="0" borderId="14" xfId="0" applyNumberFormat="1" applyFont="1" applyBorder="1" applyAlignment="1">
      <alignment horizontal="right" vertical="center"/>
    </xf>
    <xf numFmtId="0" fontId="5" fillId="0" borderId="4" xfId="0" quotePrefix="1" applyFont="1" applyBorder="1" applyAlignment="1">
      <alignment horizontal="left" vertical="center" wrapText="1"/>
    </xf>
    <xf numFmtId="0" fontId="5" fillId="2" borderId="4" xfId="0" quotePrefix="1" applyFont="1" applyFill="1" applyBorder="1" applyAlignment="1">
      <alignment horizontal="left" vertical="center" wrapText="1"/>
    </xf>
    <xf numFmtId="0" fontId="5" fillId="3" borderId="4" xfId="0" quotePrefix="1" applyFont="1" applyFill="1" applyBorder="1" applyAlignment="1">
      <alignment horizontal="left" vertical="center" wrapText="1"/>
    </xf>
    <xf numFmtId="0" fontId="5" fillId="4" borderId="4" xfId="0" quotePrefix="1" applyFont="1" applyFill="1" applyBorder="1" applyAlignment="1">
      <alignment horizontal="left" vertical="center" wrapText="1"/>
    </xf>
    <xf numFmtId="0" fontId="5" fillId="0" borderId="0" xfId="0" applyFont="1" applyAlignment="1">
      <alignment vertical="center" wrapText="1"/>
    </xf>
    <xf numFmtId="0" fontId="5" fillId="0" borderId="16" xfId="0" quotePrefix="1" applyFont="1" applyBorder="1" applyAlignment="1">
      <alignment horizontal="left" vertical="center" wrapText="1"/>
    </xf>
    <xf numFmtId="3" fontId="1" fillId="5" borderId="4" xfId="0" applyNumberFormat="1" applyFont="1" applyFill="1" applyBorder="1" applyAlignment="1">
      <alignment horizontal="right" vertical="center"/>
    </xf>
    <xf numFmtId="0" fontId="5" fillId="5" borderId="5" xfId="0" quotePrefix="1" applyFont="1" applyFill="1" applyBorder="1" applyAlignment="1">
      <alignment vertical="center"/>
    </xf>
    <xf numFmtId="3" fontId="1" fillId="5" borderId="13" xfId="0" applyNumberFormat="1" applyFont="1" applyFill="1" applyBorder="1" applyAlignment="1">
      <alignment horizontal="right" vertical="center"/>
    </xf>
    <xf numFmtId="0" fontId="5" fillId="5" borderId="5" xfId="0" quotePrefix="1" applyFont="1" applyFill="1" applyBorder="1" applyAlignment="1">
      <alignment vertical="center" wrapText="1"/>
    </xf>
    <xf numFmtId="3" fontId="1" fillId="5" borderId="14" xfId="0" applyNumberFormat="1" applyFont="1" applyFill="1" applyBorder="1" applyAlignment="1">
      <alignment horizontal="right" vertical="center"/>
    </xf>
    <xf numFmtId="3" fontId="2" fillId="5" borderId="4" xfId="0" applyNumberFormat="1" applyFont="1" applyFill="1" applyBorder="1" applyAlignment="1">
      <alignment horizontal="right" vertical="center"/>
    </xf>
    <xf numFmtId="3" fontId="2" fillId="5" borderId="4" xfId="0" applyNumberFormat="1" applyFont="1" applyFill="1" applyBorder="1" applyAlignment="1">
      <alignment horizontal="center" vertical="center"/>
    </xf>
    <xf numFmtId="0" fontId="5" fillId="5" borderId="4" xfId="0" quotePrefix="1" applyFont="1" applyFill="1" applyBorder="1" applyAlignment="1">
      <alignment vertical="center" wrapText="1"/>
    </xf>
    <xf numFmtId="3" fontId="2" fillId="5" borderId="15" xfId="0" applyNumberFormat="1" applyFont="1" applyFill="1" applyBorder="1" applyAlignment="1">
      <alignment horizontal="right" vertical="center"/>
    </xf>
    <xf numFmtId="3" fontId="1" fillId="5" borderId="15" xfId="0" applyNumberFormat="1" applyFont="1" applyFill="1" applyBorder="1" applyAlignment="1">
      <alignment horizontal="right" vertical="center"/>
    </xf>
    <xf numFmtId="3" fontId="2" fillId="0" borderId="4" xfId="0" applyNumberFormat="1" applyFont="1" applyBorder="1" applyAlignment="1">
      <alignment horizontal="right" vertical="center"/>
    </xf>
    <xf numFmtId="3" fontId="2" fillId="0" borderId="5" xfId="0" applyNumberFormat="1" applyFont="1" applyBorder="1" applyAlignment="1">
      <alignment horizontal="right" vertical="center"/>
    </xf>
    <xf numFmtId="0" fontId="4" fillId="0" borderId="16" xfId="0" quotePrefix="1" applyFont="1" applyBorder="1" applyAlignment="1">
      <alignment horizontal="left" vertical="center" wrapText="1"/>
    </xf>
    <xf numFmtId="0" fontId="5" fillId="2" borderId="16" xfId="0" quotePrefix="1" applyFont="1" applyFill="1" applyBorder="1" applyAlignment="1">
      <alignment horizontal="left" vertical="center" wrapText="1"/>
    </xf>
    <xf numFmtId="0" fontId="4" fillId="3" borderId="16" xfId="0" quotePrefix="1" applyFont="1" applyFill="1" applyBorder="1" applyAlignment="1">
      <alignment horizontal="left" vertical="center" wrapText="1"/>
    </xf>
    <xf numFmtId="0" fontId="3" fillId="3" borderId="16" xfId="0" quotePrefix="1" applyFont="1" applyFill="1" applyBorder="1" applyAlignment="1">
      <alignment horizontal="left" vertical="center" wrapText="1"/>
    </xf>
    <xf numFmtId="0" fontId="7" fillId="3" borderId="16" xfId="0" quotePrefix="1" applyFont="1" applyFill="1" applyBorder="1" applyAlignment="1">
      <alignment horizontal="left" vertical="center" wrapText="1"/>
    </xf>
    <xf numFmtId="3" fontId="2" fillId="0" borderId="4" xfId="0" applyNumberFormat="1" applyFont="1" applyBorder="1" applyAlignment="1">
      <alignment vertical="center"/>
    </xf>
    <xf numFmtId="3" fontId="1" fillId="0" borderId="4" xfId="0" applyNumberFormat="1" applyFont="1" applyBorder="1" applyAlignment="1">
      <alignment vertical="center"/>
    </xf>
    <xf numFmtId="3" fontId="1" fillId="0" borderId="0" xfId="0" applyNumberFormat="1" applyFont="1" applyAlignment="1">
      <alignment horizontal="right" vertical="center"/>
    </xf>
    <xf numFmtId="3" fontId="2" fillId="5" borderId="5" xfId="0" applyNumberFormat="1" applyFont="1" applyFill="1" applyBorder="1" applyAlignment="1">
      <alignment horizontal="center" vertical="center"/>
    </xf>
    <xf numFmtId="0" fontId="1" fillId="0" borderId="10" xfId="0" applyFont="1" applyBorder="1" applyAlignment="1">
      <alignment vertical="center" wrapText="1"/>
    </xf>
    <xf numFmtId="0" fontId="1" fillId="0" borderId="17" xfId="0" applyFont="1" applyBorder="1" applyAlignment="1">
      <alignment vertical="center" wrapText="1"/>
    </xf>
    <xf numFmtId="0" fontId="1" fillId="0" borderId="11" xfId="0" applyFont="1" applyBorder="1" applyAlignment="1">
      <alignment vertical="center" wrapText="1"/>
    </xf>
    <xf numFmtId="3" fontId="2" fillId="0" borderId="2" xfId="0" applyNumberFormat="1" applyFont="1" applyBorder="1" applyAlignment="1">
      <alignment horizontal="center" vertical="center" wrapText="1"/>
    </xf>
    <xf numFmtId="3" fontId="2" fillId="0" borderId="12" xfId="0" applyNumberFormat="1" applyFont="1" applyBorder="1" applyAlignment="1">
      <alignment horizontal="center" vertical="center" wrapText="1"/>
    </xf>
    <xf numFmtId="3" fontId="2" fillId="5" borderId="5" xfId="0" applyNumberFormat="1" applyFont="1" applyFill="1" applyBorder="1" applyAlignment="1">
      <alignment horizontal="right" vertical="center"/>
    </xf>
    <xf numFmtId="3" fontId="2" fillId="5" borderId="15" xfId="0" applyNumberFormat="1" applyFont="1" applyFill="1" applyBorder="1" applyAlignment="1">
      <alignment horizontal="center" vertical="center"/>
    </xf>
    <xf numFmtId="3" fontId="1" fillId="5" borderId="15" xfId="0" applyNumberFormat="1" applyFont="1" applyFill="1" applyBorder="1" applyAlignment="1">
      <alignment horizontal="center" vertical="center"/>
    </xf>
    <xf numFmtId="3" fontId="2" fillId="0" borderId="5" xfId="0" applyNumberFormat="1" applyFont="1" applyBorder="1" applyAlignment="1">
      <alignment vertical="center"/>
    </xf>
    <xf numFmtId="0" fontId="2" fillId="0" borderId="18" xfId="0" applyFont="1" applyBorder="1" applyAlignment="1">
      <alignment horizontal="center" vertical="center"/>
    </xf>
    <xf numFmtId="0" fontId="1" fillId="0" borderId="18" xfId="0" applyFont="1" applyBorder="1"/>
    <xf numFmtId="0" fontId="2" fillId="0" borderId="4" xfId="0" applyFont="1" applyBorder="1" applyAlignment="1">
      <alignment vertical="center" wrapText="1"/>
    </xf>
    <xf numFmtId="0" fontId="2" fillId="0" borderId="4" xfId="0" applyFont="1" applyBorder="1" applyAlignment="1">
      <alignment horizontal="left" vertical="center" wrapText="1"/>
    </xf>
    <xf numFmtId="3" fontId="1" fillId="0" borderId="8" xfId="0" applyNumberFormat="1" applyFont="1" applyBorder="1" applyAlignment="1">
      <alignment horizontal="center" vertical="center"/>
    </xf>
    <xf numFmtId="3" fontId="1" fillId="0" borderId="16" xfId="0" applyNumberFormat="1" applyFont="1" applyBorder="1" applyAlignment="1">
      <alignment horizontal="center" vertical="center"/>
    </xf>
    <xf numFmtId="3" fontId="1" fillId="0" borderId="9" xfId="0" applyNumberFormat="1" applyFont="1" applyBorder="1" applyAlignment="1">
      <alignment horizontal="center" vertical="center"/>
    </xf>
    <xf numFmtId="3" fontId="1" fillId="0" borderId="13" xfId="0" applyNumberFormat="1" applyFont="1" applyBorder="1" applyAlignment="1">
      <alignment horizontal="center" vertical="center"/>
    </xf>
    <xf numFmtId="3" fontId="1" fillId="0" borderId="14" xfId="0" applyNumberFormat="1" applyFont="1" applyBorder="1" applyAlignment="1">
      <alignment horizontal="center" vertical="center"/>
    </xf>
    <xf numFmtId="3" fontId="1" fillId="0" borderId="15" xfId="0" applyNumberFormat="1" applyFont="1" applyBorder="1" applyAlignment="1">
      <alignment horizontal="center" vertical="center"/>
    </xf>
    <xf numFmtId="0" fontId="1" fillId="5" borderId="8"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2" fillId="5" borderId="5" xfId="0" quotePrefix="1" applyFont="1" applyFill="1" applyBorder="1" applyAlignment="1">
      <alignment horizontal="left" vertical="center" wrapText="1"/>
    </xf>
    <xf numFmtId="0" fontId="2" fillId="5" borderId="6" xfId="0" applyFont="1" applyFill="1" applyBorder="1" applyAlignment="1">
      <alignment horizontal="left" vertical="center" wrapText="1"/>
    </xf>
    <xf numFmtId="0" fontId="1" fillId="0" borderId="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9" xfId="0" applyFont="1" applyBorder="1" applyAlignment="1">
      <alignment horizontal="center" vertical="center" wrapText="1"/>
    </xf>
    <xf numFmtId="3" fontId="1" fillId="0" borderId="4" xfId="0" applyNumberFormat="1" applyFont="1" applyBorder="1" applyAlignment="1">
      <alignment horizontal="right" vertical="center"/>
    </xf>
    <xf numFmtId="0" fontId="1" fillId="0" borderId="3" xfId="0" applyFont="1" applyBorder="1" applyAlignment="1">
      <alignment horizontal="center" vertical="center" wrapText="1"/>
    </xf>
    <xf numFmtId="0" fontId="1" fillId="0" borderId="4" xfId="0" applyFont="1" applyBorder="1" applyAlignment="1">
      <alignment vertical="center" wrapText="1"/>
    </xf>
    <xf numFmtId="0" fontId="2" fillId="5" borderId="4" xfId="0" applyFont="1" applyFill="1" applyBorder="1" applyAlignment="1">
      <alignment horizontal="left" vertical="center" wrapText="1"/>
    </xf>
    <xf numFmtId="0" fontId="2" fillId="0" borderId="7" xfId="0" applyFont="1" applyBorder="1" applyAlignment="1">
      <alignment horizontal="center" wrapText="1"/>
    </xf>
    <xf numFmtId="0" fontId="2" fillId="0" borderId="7" xfId="0" applyFont="1" applyBorder="1" applyAlignment="1">
      <alignment horizontal="center"/>
    </xf>
    <xf numFmtId="3" fontId="1" fillId="5" borderId="13" xfId="0" applyNumberFormat="1" applyFont="1" applyFill="1" applyBorder="1" applyAlignment="1">
      <alignment horizontal="center" vertical="center"/>
    </xf>
    <xf numFmtId="3" fontId="1" fillId="5" borderId="14" xfId="0" applyNumberFormat="1" applyFont="1" applyFill="1" applyBorder="1" applyAlignment="1">
      <alignment horizontal="center" vertical="center"/>
    </xf>
    <xf numFmtId="3" fontId="1" fillId="0" borderId="4" xfId="0" applyNumberFormat="1" applyFont="1" applyBorder="1" applyAlignment="1">
      <alignment horizontal="center" vertical="center"/>
    </xf>
    <xf numFmtId="3" fontId="1" fillId="5" borderId="4" xfId="0" applyNumberFormat="1" applyFont="1" applyFill="1" applyBorder="1" applyAlignment="1">
      <alignment horizontal="right" vertical="center"/>
    </xf>
    <xf numFmtId="0" fontId="2" fillId="0" borderId="10"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1"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1" xfId="0" applyFont="1" applyBorder="1" applyAlignment="1">
      <alignment horizontal="center" vertical="center" wrapText="1"/>
    </xf>
    <xf numFmtId="0" fontId="1" fillId="5" borderId="10"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1" fillId="5" borderId="4" xfId="0" applyFont="1" applyFill="1" applyBorder="1" applyAlignment="1">
      <alignment horizontal="center" vertical="center" wrapText="1"/>
    </xf>
  </cellXfs>
  <cellStyles count="2">
    <cellStyle name="Normal" xfId="0" builtinId="0"/>
    <cellStyle name="Normal 2" xfId="1" xr:uid="{BB164B31-D1EE-46F1-9124-73C9C56BEF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2"/>
  <sheetViews>
    <sheetView tabSelected="1" topLeftCell="A19" zoomScaleNormal="100" workbookViewId="0">
      <selection activeCell="G176" sqref="G176"/>
    </sheetView>
  </sheetViews>
  <sheetFormatPr defaultColWidth="8.77734375" defaultRowHeight="15.6" x14ac:dyDescent="0.3"/>
  <cols>
    <col min="1" max="1" width="8.77734375" style="15"/>
    <col min="2" max="2" width="16.44140625" style="15" customWidth="1"/>
    <col min="3" max="3" width="58.21875" style="15" customWidth="1"/>
    <col min="4" max="4" width="9.77734375" style="15" bestFit="1" customWidth="1"/>
    <col min="5" max="5" width="8.21875" style="15" bestFit="1" customWidth="1"/>
    <col min="6" max="6" width="13.88671875" style="45" customWidth="1"/>
    <col min="7" max="7" width="12.33203125" style="45" customWidth="1"/>
    <col min="8" max="8" width="14.44140625" style="45" customWidth="1"/>
    <col min="9" max="9" width="18.109375" style="15" customWidth="1"/>
    <col min="10" max="10" width="8.77734375" style="15"/>
    <col min="11" max="11" width="19.21875" style="15" customWidth="1"/>
    <col min="12" max="16384" width="8.77734375" style="15"/>
  </cols>
  <sheetData>
    <row r="1" spans="1:9" ht="61.8" customHeight="1" thickBot="1" x14ac:dyDescent="0.35">
      <c r="A1" s="78" t="s">
        <v>17</v>
      </c>
      <c r="B1" s="79"/>
      <c r="C1" s="79"/>
      <c r="D1" s="79"/>
      <c r="E1" s="79"/>
      <c r="F1" s="79"/>
      <c r="G1" s="79"/>
      <c r="H1" s="79"/>
    </row>
    <row r="2" spans="1:9" ht="61.8" customHeight="1" thickTop="1" thickBot="1" x14ac:dyDescent="0.35">
      <c r="A2" s="1" t="s">
        <v>0</v>
      </c>
      <c r="B2" s="2" t="s">
        <v>1</v>
      </c>
      <c r="C2" s="2" t="s">
        <v>2</v>
      </c>
      <c r="D2" s="2" t="s">
        <v>10</v>
      </c>
      <c r="E2" s="2" t="s">
        <v>11</v>
      </c>
      <c r="F2" s="50" t="s">
        <v>8</v>
      </c>
      <c r="G2" s="51" t="s">
        <v>191</v>
      </c>
      <c r="H2" s="51" t="s">
        <v>7</v>
      </c>
      <c r="I2" s="56" t="s">
        <v>190</v>
      </c>
    </row>
    <row r="3" spans="1:9" ht="15" customHeight="1" thickTop="1" thickBot="1" x14ac:dyDescent="0.35">
      <c r="A3" s="3" t="s">
        <v>3</v>
      </c>
      <c r="B3" s="58" t="s">
        <v>75</v>
      </c>
      <c r="C3" s="58"/>
      <c r="D3" s="4"/>
      <c r="E3" s="4"/>
      <c r="F3" s="16"/>
      <c r="G3" s="17"/>
      <c r="H3" s="17"/>
      <c r="I3" s="57"/>
    </row>
    <row r="4" spans="1:9" ht="16.8" thickTop="1" thickBot="1" x14ac:dyDescent="0.35">
      <c r="A4" s="6">
        <v>1</v>
      </c>
      <c r="B4" s="59" t="s">
        <v>76</v>
      </c>
      <c r="C4" s="59"/>
      <c r="D4" s="4" t="s">
        <v>16</v>
      </c>
      <c r="E4" s="4">
        <v>1</v>
      </c>
      <c r="F4" s="36">
        <v>29500000</v>
      </c>
      <c r="G4" s="37">
        <f>F4*0.08</f>
        <v>2360000</v>
      </c>
      <c r="H4" s="37">
        <f>SUM(F4:G4)*E4</f>
        <v>31860000</v>
      </c>
      <c r="I4" s="57"/>
    </row>
    <row r="5" spans="1:9" ht="16.8" thickTop="1" thickBot="1" x14ac:dyDescent="0.35">
      <c r="A5" s="87"/>
      <c r="B5" s="71"/>
      <c r="C5" s="20" t="s">
        <v>18</v>
      </c>
      <c r="D5" s="7"/>
      <c r="E5" s="7"/>
      <c r="F5" s="16"/>
      <c r="G5" s="17"/>
      <c r="H5" s="17"/>
      <c r="I5" s="57"/>
    </row>
    <row r="6" spans="1:9" ht="16.8" thickTop="1" thickBot="1" x14ac:dyDescent="0.35">
      <c r="A6" s="88"/>
      <c r="B6" s="72"/>
      <c r="C6" s="21" t="s">
        <v>19</v>
      </c>
      <c r="D6" s="7"/>
      <c r="E6" s="7"/>
      <c r="F6" s="16"/>
      <c r="G6" s="17"/>
      <c r="H6" s="17"/>
      <c r="I6" s="57"/>
    </row>
    <row r="7" spans="1:9" ht="16.8" thickTop="1" thickBot="1" x14ac:dyDescent="0.35">
      <c r="A7" s="88"/>
      <c r="B7" s="72"/>
      <c r="C7" s="21" t="s">
        <v>20</v>
      </c>
      <c r="D7" s="7"/>
      <c r="E7" s="7"/>
      <c r="F7" s="16"/>
      <c r="G7" s="17"/>
      <c r="H7" s="17"/>
      <c r="I7" s="57"/>
    </row>
    <row r="8" spans="1:9" ht="16.8" thickTop="1" thickBot="1" x14ac:dyDescent="0.35">
      <c r="A8" s="88"/>
      <c r="B8" s="72"/>
      <c r="C8" s="20" t="s">
        <v>21</v>
      </c>
      <c r="D8" s="7"/>
      <c r="E8" s="7"/>
      <c r="F8" s="16"/>
      <c r="G8" s="17"/>
      <c r="H8" s="17"/>
      <c r="I8" s="57"/>
    </row>
    <row r="9" spans="1:9" ht="16.8" thickTop="1" thickBot="1" x14ac:dyDescent="0.35">
      <c r="A9" s="88"/>
      <c r="B9" s="72"/>
      <c r="C9" s="20" t="s">
        <v>22</v>
      </c>
      <c r="D9" s="7"/>
      <c r="E9" s="7"/>
      <c r="F9" s="16"/>
      <c r="G9" s="17"/>
      <c r="H9" s="17"/>
      <c r="I9" s="57"/>
    </row>
    <row r="10" spans="1:9" ht="16.8" thickTop="1" thickBot="1" x14ac:dyDescent="0.35">
      <c r="A10" s="88"/>
      <c r="B10" s="72"/>
      <c r="C10" s="21" t="s">
        <v>23</v>
      </c>
      <c r="D10" s="7"/>
      <c r="E10" s="7"/>
      <c r="F10" s="16"/>
      <c r="G10" s="17"/>
      <c r="H10" s="17"/>
      <c r="I10" s="57"/>
    </row>
    <row r="11" spans="1:9" ht="16.8" thickTop="1" thickBot="1" x14ac:dyDescent="0.35">
      <c r="A11" s="88"/>
      <c r="B11" s="72"/>
      <c r="C11" s="21" t="s">
        <v>24</v>
      </c>
      <c r="D11" s="7"/>
      <c r="E11" s="7"/>
      <c r="F11" s="16"/>
      <c r="G11" s="17"/>
      <c r="H11" s="17"/>
      <c r="I11" s="57"/>
    </row>
    <row r="12" spans="1:9" ht="16.8" thickTop="1" thickBot="1" x14ac:dyDescent="0.35">
      <c r="A12" s="88"/>
      <c r="B12" s="72"/>
      <c r="C12" s="21" t="s">
        <v>25</v>
      </c>
      <c r="D12" s="7"/>
      <c r="E12" s="7"/>
      <c r="F12" s="16"/>
      <c r="G12" s="17"/>
      <c r="H12" s="17"/>
      <c r="I12" s="57"/>
    </row>
    <row r="13" spans="1:9" ht="32.4" thickTop="1" thickBot="1" x14ac:dyDescent="0.35">
      <c r="A13" s="88"/>
      <c r="B13" s="72"/>
      <c r="C13" s="22" t="s">
        <v>188</v>
      </c>
      <c r="D13" s="7"/>
      <c r="E13" s="7"/>
      <c r="F13" s="16"/>
      <c r="G13" s="17"/>
      <c r="H13" s="17"/>
      <c r="I13" s="57"/>
    </row>
    <row r="14" spans="1:9" ht="16.8" thickTop="1" thickBot="1" x14ac:dyDescent="0.35">
      <c r="A14" s="88"/>
      <c r="B14" s="72"/>
      <c r="C14" s="20" t="s">
        <v>26</v>
      </c>
      <c r="D14" s="7"/>
      <c r="E14" s="7"/>
      <c r="F14" s="16"/>
      <c r="G14" s="17"/>
      <c r="H14" s="17"/>
      <c r="I14" s="57"/>
    </row>
    <row r="15" spans="1:9" ht="16.8" thickTop="1" thickBot="1" x14ac:dyDescent="0.35">
      <c r="A15" s="88"/>
      <c r="B15" s="72"/>
      <c r="C15" s="20" t="s">
        <v>27</v>
      </c>
      <c r="D15" s="7"/>
      <c r="E15" s="7"/>
      <c r="F15" s="16"/>
      <c r="G15" s="17"/>
      <c r="H15" s="17"/>
      <c r="I15" s="57"/>
    </row>
    <row r="16" spans="1:9" ht="16.8" thickTop="1" thickBot="1" x14ac:dyDescent="0.35">
      <c r="A16" s="88"/>
      <c r="B16" s="72"/>
      <c r="C16" s="20" t="s">
        <v>28</v>
      </c>
      <c r="D16" s="7"/>
      <c r="E16" s="7"/>
      <c r="F16" s="16"/>
      <c r="G16" s="17"/>
      <c r="H16" s="17"/>
      <c r="I16" s="57"/>
    </row>
    <row r="17" spans="1:9" ht="16.8" thickTop="1" thickBot="1" x14ac:dyDescent="0.35">
      <c r="A17" s="88"/>
      <c r="B17" s="72"/>
      <c r="C17" s="22" t="s">
        <v>29</v>
      </c>
      <c r="D17" s="7"/>
      <c r="E17" s="7"/>
      <c r="F17" s="16"/>
      <c r="G17" s="17"/>
      <c r="H17" s="17"/>
      <c r="I17" s="57"/>
    </row>
    <row r="18" spans="1:9" ht="16.8" thickTop="1" thickBot="1" x14ac:dyDescent="0.35">
      <c r="A18" s="88"/>
      <c r="B18" s="72"/>
      <c r="C18" s="22" t="s">
        <v>30</v>
      </c>
      <c r="D18" s="7"/>
      <c r="E18" s="7"/>
      <c r="F18" s="16"/>
      <c r="G18" s="17"/>
      <c r="H18" s="17"/>
      <c r="I18" s="57"/>
    </row>
    <row r="19" spans="1:9" ht="16.8" thickTop="1" thickBot="1" x14ac:dyDescent="0.35">
      <c r="A19" s="88"/>
      <c r="B19" s="72"/>
      <c r="C19" s="23" t="s">
        <v>31</v>
      </c>
      <c r="D19" s="7"/>
      <c r="E19" s="7"/>
      <c r="F19" s="16"/>
      <c r="G19" s="17"/>
      <c r="H19" s="17"/>
      <c r="I19" s="57"/>
    </row>
    <row r="20" spans="1:9" ht="63.6" thickTop="1" thickBot="1" x14ac:dyDescent="0.35">
      <c r="A20" s="88"/>
      <c r="B20" s="72"/>
      <c r="C20" s="21" t="s">
        <v>32</v>
      </c>
      <c r="D20" s="7"/>
      <c r="E20" s="7"/>
      <c r="F20" s="16"/>
      <c r="G20" s="17"/>
      <c r="H20" s="17"/>
      <c r="I20" s="57"/>
    </row>
    <row r="21" spans="1:9" ht="16.8" thickTop="1" thickBot="1" x14ac:dyDescent="0.35">
      <c r="A21" s="88"/>
      <c r="B21" s="72"/>
      <c r="C21" s="21" t="s">
        <v>33</v>
      </c>
      <c r="D21" s="7"/>
      <c r="E21" s="7"/>
      <c r="F21" s="16"/>
      <c r="G21" s="17"/>
      <c r="H21" s="17"/>
      <c r="I21" s="57"/>
    </row>
    <row r="22" spans="1:9" ht="48" thickTop="1" thickBot="1" x14ac:dyDescent="0.35">
      <c r="A22" s="89"/>
      <c r="B22" s="73"/>
      <c r="C22" s="21" t="s">
        <v>34</v>
      </c>
      <c r="D22" s="7"/>
      <c r="E22" s="7"/>
      <c r="F22" s="16"/>
      <c r="G22" s="17"/>
      <c r="H22" s="17"/>
      <c r="I22" s="57"/>
    </row>
    <row r="23" spans="1:9" ht="15" customHeight="1" thickTop="1" thickBot="1" x14ac:dyDescent="0.35">
      <c r="A23" s="6">
        <v>2</v>
      </c>
      <c r="B23" s="59" t="s">
        <v>35</v>
      </c>
      <c r="C23" s="59"/>
      <c r="D23" s="4" t="s">
        <v>9</v>
      </c>
      <c r="E23" s="4">
        <v>1</v>
      </c>
      <c r="F23" s="36">
        <v>41500000</v>
      </c>
      <c r="G23" s="37">
        <f>F23*0.08</f>
        <v>3320000</v>
      </c>
      <c r="H23" s="37">
        <f>SUM(F23:G23)*E23</f>
        <v>44820000</v>
      </c>
      <c r="I23" s="57"/>
    </row>
    <row r="24" spans="1:9" ht="15" customHeight="1" thickTop="1" thickBot="1" x14ac:dyDescent="0.35">
      <c r="A24" s="87"/>
      <c r="B24" s="70" t="s">
        <v>4</v>
      </c>
      <c r="C24" s="5" t="s">
        <v>36</v>
      </c>
      <c r="D24" s="71"/>
      <c r="E24" s="71"/>
      <c r="F24" s="60"/>
      <c r="G24" s="60"/>
      <c r="H24" s="63"/>
      <c r="I24" s="57"/>
    </row>
    <row r="25" spans="1:9" ht="22.8" customHeight="1" thickTop="1" thickBot="1" x14ac:dyDescent="0.35">
      <c r="A25" s="88"/>
      <c r="B25" s="70"/>
      <c r="C25" s="5" t="s">
        <v>37</v>
      </c>
      <c r="D25" s="72"/>
      <c r="E25" s="72"/>
      <c r="F25" s="61"/>
      <c r="G25" s="61"/>
      <c r="H25" s="64"/>
      <c r="I25" s="57"/>
    </row>
    <row r="26" spans="1:9" ht="48.6" customHeight="1" thickTop="1" thickBot="1" x14ac:dyDescent="0.35">
      <c r="A26" s="88"/>
      <c r="B26" s="70"/>
      <c r="C26" s="5" t="s">
        <v>39</v>
      </c>
      <c r="D26" s="72"/>
      <c r="E26" s="72"/>
      <c r="F26" s="61"/>
      <c r="G26" s="61"/>
      <c r="H26" s="64"/>
      <c r="I26" s="57"/>
    </row>
    <row r="27" spans="1:9" ht="39.6" customHeight="1" thickTop="1" thickBot="1" x14ac:dyDescent="0.35">
      <c r="A27" s="88"/>
      <c r="B27" s="70"/>
      <c r="C27" s="5" t="s">
        <v>38</v>
      </c>
      <c r="D27" s="72"/>
      <c r="E27" s="72"/>
      <c r="F27" s="61"/>
      <c r="G27" s="61"/>
      <c r="H27" s="64"/>
      <c r="I27" s="57"/>
    </row>
    <row r="28" spans="1:9" ht="15" customHeight="1" thickTop="1" thickBot="1" x14ac:dyDescent="0.35">
      <c r="A28" s="88"/>
      <c r="B28" s="72" t="s">
        <v>58</v>
      </c>
      <c r="C28" s="9" t="s">
        <v>41</v>
      </c>
      <c r="D28" s="72"/>
      <c r="E28" s="72"/>
      <c r="F28" s="61"/>
      <c r="G28" s="61"/>
      <c r="H28" s="64"/>
      <c r="I28" s="57"/>
    </row>
    <row r="29" spans="1:9" ht="15" customHeight="1" thickTop="1" thickBot="1" x14ac:dyDescent="0.35">
      <c r="A29" s="88"/>
      <c r="B29" s="72"/>
      <c r="C29" s="9" t="s">
        <v>42</v>
      </c>
      <c r="D29" s="72"/>
      <c r="E29" s="72"/>
      <c r="F29" s="61"/>
      <c r="G29" s="61"/>
      <c r="H29" s="64"/>
      <c r="I29" s="57"/>
    </row>
    <row r="30" spans="1:9" ht="15" customHeight="1" thickTop="1" thickBot="1" x14ac:dyDescent="0.35">
      <c r="A30" s="88"/>
      <c r="B30" s="72"/>
      <c r="C30" s="9" t="s">
        <v>43</v>
      </c>
      <c r="D30" s="72"/>
      <c r="E30" s="72"/>
      <c r="F30" s="61"/>
      <c r="G30" s="61"/>
      <c r="H30" s="64"/>
      <c r="I30" s="57"/>
    </row>
    <row r="31" spans="1:9" ht="15" customHeight="1" thickTop="1" thickBot="1" x14ac:dyDescent="0.35">
      <c r="A31" s="88"/>
      <c r="B31" s="72"/>
      <c r="C31" s="9" t="s">
        <v>40</v>
      </c>
      <c r="D31" s="72"/>
      <c r="E31" s="72"/>
      <c r="F31" s="61"/>
      <c r="G31" s="61"/>
      <c r="H31" s="64"/>
      <c r="I31" s="57"/>
    </row>
    <row r="32" spans="1:9" ht="15" customHeight="1" thickTop="1" thickBot="1" x14ac:dyDescent="0.35">
      <c r="A32" s="88"/>
      <c r="B32" s="72"/>
      <c r="C32" s="9" t="s">
        <v>44</v>
      </c>
      <c r="D32" s="72"/>
      <c r="E32" s="72"/>
      <c r="F32" s="61"/>
      <c r="G32" s="61"/>
      <c r="H32" s="64"/>
      <c r="I32" s="57"/>
    </row>
    <row r="33" spans="1:9" ht="15" customHeight="1" thickTop="1" thickBot="1" x14ac:dyDescent="0.35">
      <c r="A33" s="88"/>
      <c r="B33" s="72"/>
      <c r="C33" s="9" t="s">
        <v>45</v>
      </c>
      <c r="D33" s="72"/>
      <c r="E33" s="72"/>
      <c r="F33" s="61"/>
      <c r="G33" s="61"/>
      <c r="H33" s="64"/>
      <c r="I33" s="57"/>
    </row>
    <row r="34" spans="1:9" ht="15" customHeight="1" thickTop="1" thickBot="1" x14ac:dyDescent="0.35">
      <c r="A34" s="88"/>
      <c r="B34" s="72"/>
      <c r="C34" s="9" t="s">
        <v>46</v>
      </c>
      <c r="D34" s="72"/>
      <c r="E34" s="72"/>
      <c r="F34" s="61"/>
      <c r="G34" s="61"/>
      <c r="H34" s="64"/>
      <c r="I34" s="57"/>
    </row>
    <row r="35" spans="1:9" ht="15" customHeight="1" thickTop="1" thickBot="1" x14ac:dyDescent="0.35">
      <c r="A35" s="88"/>
      <c r="B35" s="73"/>
      <c r="C35" s="9" t="s">
        <v>47</v>
      </c>
      <c r="D35" s="72"/>
      <c r="E35" s="72"/>
      <c r="F35" s="61"/>
      <c r="G35" s="61"/>
      <c r="H35" s="64"/>
      <c r="I35" s="57"/>
    </row>
    <row r="36" spans="1:9" ht="15" customHeight="1" thickTop="1" thickBot="1" x14ac:dyDescent="0.35">
      <c r="A36" s="88"/>
      <c r="B36" s="71" t="s">
        <v>5</v>
      </c>
      <c r="C36" s="5" t="s">
        <v>48</v>
      </c>
      <c r="D36" s="72"/>
      <c r="E36" s="72"/>
      <c r="F36" s="61"/>
      <c r="G36" s="61"/>
      <c r="H36" s="64"/>
      <c r="I36" s="57"/>
    </row>
    <row r="37" spans="1:9" ht="15" customHeight="1" thickTop="1" thickBot="1" x14ac:dyDescent="0.35">
      <c r="A37" s="88"/>
      <c r="B37" s="72"/>
      <c r="C37" s="24" t="s">
        <v>49</v>
      </c>
      <c r="D37" s="72"/>
      <c r="E37" s="72"/>
      <c r="F37" s="61"/>
      <c r="G37" s="61"/>
      <c r="H37" s="64"/>
      <c r="I37" s="57"/>
    </row>
    <row r="38" spans="1:9" ht="15" customHeight="1" thickTop="1" thickBot="1" x14ac:dyDescent="0.35">
      <c r="A38" s="88"/>
      <c r="B38" s="72"/>
      <c r="C38" s="24" t="s">
        <v>50</v>
      </c>
      <c r="D38" s="72"/>
      <c r="E38" s="72"/>
      <c r="F38" s="61"/>
      <c r="G38" s="61"/>
      <c r="H38" s="64"/>
      <c r="I38" s="57"/>
    </row>
    <row r="39" spans="1:9" ht="15" customHeight="1" thickTop="1" thickBot="1" x14ac:dyDescent="0.35">
      <c r="A39" s="88"/>
      <c r="B39" s="72"/>
      <c r="C39" s="24" t="s">
        <v>51</v>
      </c>
      <c r="D39" s="72"/>
      <c r="E39" s="72"/>
      <c r="F39" s="61"/>
      <c r="G39" s="61"/>
      <c r="H39" s="64"/>
      <c r="I39" s="57"/>
    </row>
    <row r="40" spans="1:9" ht="15" customHeight="1" thickTop="1" thickBot="1" x14ac:dyDescent="0.35">
      <c r="A40" s="88"/>
      <c r="B40" s="72"/>
      <c r="C40" s="24" t="s">
        <v>52</v>
      </c>
      <c r="D40" s="72"/>
      <c r="E40" s="72"/>
      <c r="F40" s="61"/>
      <c r="G40" s="61"/>
      <c r="H40" s="64"/>
      <c r="I40" s="57"/>
    </row>
    <row r="41" spans="1:9" ht="15" customHeight="1" thickTop="1" thickBot="1" x14ac:dyDescent="0.35">
      <c r="A41" s="88"/>
      <c r="B41" s="72"/>
      <c r="C41" s="24" t="s">
        <v>53</v>
      </c>
      <c r="D41" s="72"/>
      <c r="E41" s="72"/>
      <c r="F41" s="61"/>
      <c r="G41" s="61"/>
      <c r="H41" s="64"/>
      <c r="I41" s="57"/>
    </row>
    <row r="42" spans="1:9" ht="15" customHeight="1" thickTop="1" thickBot="1" x14ac:dyDescent="0.35">
      <c r="A42" s="88"/>
      <c r="B42" s="72"/>
      <c r="C42" s="24" t="s">
        <v>54</v>
      </c>
      <c r="D42" s="72"/>
      <c r="E42" s="72"/>
      <c r="F42" s="61"/>
      <c r="G42" s="61"/>
      <c r="H42" s="64"/>
      <c r="I42" s="57"/>
    </row>
    <row r="43" spans="1:9" ht="15" customHeight="1" thickTop="1" thickBot="1" x14ac:dyDescent="0.35">
      <c r="A43" s="88"/>
      <c r="B43" s="72"/>
      <c r="C43" s="24" t="s">
        <v>55</v>
      </c>
      <c r="D43" s="72"/>
      <c r="E43" s="72"/>
      <c r="F43" s="61"/>
      <c r="G43" s="61"/>
      <c r="H43" s="64"/>
      <c r="I43" s="57"/>
    </row>
    <row r="44" spans="1:9" ht="15" customHeight="1" thickTop="1" thickBot="1" x14ac:dyDescent="0.35">
      <c r="A44" s="88"/>
      <c r="B44" s="72"/>
      <c r="C44" s="24" t="s">
        <v>56</v>
      </c>
      <c r="D44" s="72"/>
      <c r="E44" s="72"/>
      <c r="F44" s="61"/>
      <c r="G44" s="61"/>
      <c r="H44" s="64"/>
      <c r="I44" s="57"/>
    </row>
    <row r="45" spans="1:9" ht="15" customHeight="1" thickTop="1" thickBot="1" x14ac:dyDescent="0.35">
      <c r="A45" s="88"/>
      <c r="B45" s="73"/>
      <c r="C45" s="24" t="s">
        <v>57</v>
      </c>
      <c r="D45" s="72"/>
      <c r="E45" s="72"/>
      <c r="F45" s="61"/>
      <c r="G45" s="61"/>
      <c r="H45" s="64"/>
      <c r="I45" s="57"/>
    </row>
    <row r="46" spans="1:9" ht="15" customHeight="1" thickTop="1" thickBot="1" x14ac:dyDescent="0.35">
      <c r="A46" s="88"/>
      <c r="B46" s="71" t="s">
        <v>59</v>
      </c>
      <c r="C46" s="25" t="s">
        <v>60</v>
      </c>
      <c r="D46" s="72"/>
      <c r="E46" s="72"/>
      <c r="F46" s="61"/>
      <c r="G46" s="61"/>
      <c r="H46" s="64"/>
      <c r="I46" s="57"/>
    </row>
    <row r="47" spans="1:9" ht="30" customHeight="1" thickTop="1" thickBot="1" x14ac:dyDescent="0.35">
      <c r="A47" s="88"/>
      <c r="B47" s="72"/>
      <c r="C47" s="25" t="s">
        <v>61</v>
      </c>
      <c r="D47" s="72"/>
      <c r="E47" s="72"/>
      <c r="F47" s="61"/>
      <c r="G47" s="61"/>
      <c r="H47" s="64"/>
      <c r="I47" s="57"/>
    </row>
    <row r="48" spans="1:9" ht="43.8" customHeight="1" thickTop="1" thickBot="1" x14ac:dyDescent="0.35">
      <c r="A48" s="88"/>
      <c r="B48" s="72"/>
      <c r="C48" s="25" t="s">
        <v>62</v>
      </c>
      <c r="D48" s="72"/>
      <c r="E48" s="72"/>
      <c r="F48" s="61"/>
      <c r="G48" s="61"/>
      <c r="H48" s="64"/>
      <c r="I48" s="57"/>
    </row>
    <row r="49" spans="1:9" ht="22.2" customHeight="1" thickTop="1" thickBot="1" x14ac:dyDescent="0.35">
      <c r="A49" s="88"/>
      <c r="B49" s="72"/>
      <c r="C49" s="25" t="s">
        <v>63</v>
      </c>
      <c r="D49" s="72"/>
      <c r="E49" s="72"/>
      <c r="F49" s="61"/>
      <c r="G49" s="61"/>
      <c r="H49" s="64"/>
      <c r="I49" s="57"/>
    </row>
    <row r="50" spans="1:9" ht="42.6" customHeight="1" thickTop="1" thickBot="1" x14ac:dyDescent="0.35">
      <c r="A50" s="88"/>
      <c r="B50" s="73"/>
      <c r="C50" s="25" t="s">
        <v>64</v>
      </c>
      <c r="D50" s="72"/>
      <c r="E50" s="72"/>
      <c r="F50" s="61"/>
      <c r="G50" s="61"/>
      <c r="H50" s="64"/>
      <c r="I50" s="57"/>
    </row>
    <row r="51" spans="1:9" ht="15" customHeight="1" thickTop="1" thickBot="1" x14ac:dyDescent="0.35">
      <c r="A51" s="88"/>
      <c r="B51" s="71" t="s">
        <v>65</v>
      </c>
      <c r="C51" s="25" t="s">
        <v>66</v>
      </c>
      <c r="D51" s="72"/>
      <c r="E51" s="72"/>
      <c r="F51" s="61"/>
      <c r="G51" s="61"/>
      <c r="H51" s="64"/>
      <c r="I51" s="57"/>
    </row>
    <row r="52" spans="1:9" ht="15" customHeight="1" thickTop="1" thickBot="1" x14ac:dyDescent="0.35">
      <c r="A52" s="88"/>
      <c r="B52" s="72"/>
      <c r="C52" s="25" t="s">
        <v>67</v>
      </c>
      <c r="D52" s="72"/>
      <c r="E52" s="72"/>
      <c r="F52" s="61"/>
      <c r="G52" s="61"/>
      <c r="H52" s="64"/>
      <c r="I52" s="57"/>
    </row>
    <row r="53" spans="1:9" ht="30" customHeight="1" thickTop="1" thickBot="1" x14ac:dyDescent="0.35">
      <c r="A53" s="88"/>
      <c r="B53" s="72"/>
      <c r="C53" s="25" t="s">
        <v>68</v>
      </c>
      <c r="D53" s="72"/>
      <c r="E53" s="72"/>
      <c r="F53" s="61"/>
      <c r="G53" s="61"/>
      <c r="H53" s="64"/>
      <c r="I53" s="57"/>
    </row>
    <row r="54" spans="1:9" ht="15" customHeight="1" thickTop="1" thickBot="1" x14ac:dyDescent="0.35">
      <c r="A54" s="88"/>
      <c r="B54" s="72"/>
      <c r="C54" s="25" t="s">
        <v>69</v>
      </c>
      <c r="D54" s="72"/>
      <c r="E54" s="72"/>
      <c r="F54" s="61"/>
      <c r="G54" s="61"/>
      <c r="H54" s="64"/>
      <c r="I54" s="57"/>
    </row>
    <row r="55" spans="1:9" ht="15" customHeight="1" thickTop="1" thickBot="1" x14ac:dyDescent="0.35">
      <c r="A55" s="88"/>
      <c r="B55" s="72"/>
      <c r="C55" s="25" t="s">
        <v>70</v>
      </c>
      <c r="D55" s="72"/>
      <c r="E55" s="72"/>
      <c r="F55" s="61"/>
      <c r="G55" s="61"/>
      <c r="H55" s="64"/>
      <c r="I55" s="57"/>
    </row>
    <row r="56" spans="1:9" ht="15" customHeight="1" thickTop="1" thickBot="1" x14ac:dyDescent="0.35">
      <c r="A56" s="88"/>
      <c r="B56" s="72"/>
      <c r="C56" s="25" t="s">
        <v>71</v>
      </c>
      <c r="D56" s="72"/>
      <c r="E56" s="72"/>
      <c r="F56" s="61"/>
      <c r="G56" s="61"/>
      <c r="H56" s="64"/>
      <c r="I56" s="57"/>
    </row>
    <row r="57" spans="1:9" ht="36" customHeight="1" thickTop="1" thickBot="1" x14ac:dyDescent="0.35">
      <c r="A57" s="89"/>
      <c r="B57" s="8" t="s">
        <v>73</v>
      </c>
      <c r="C57" s="25" t="s">
        <v>72</v>
      </c>
      <c r="D57" s="73"/>
      <c r="E57" s="73"/>
      <c r="F57" s="62"/>
      <c r="G57" s="62"/>
      <c r="H57" s="65"/>
      <c r="I57" s="57"/>
    </row>
    <row r="58" spans="1:9" ht="19.8" customHeight="1" thickTop="1" thickBot="1" x14ac:dyDescent="0.35">
      <c r="A58" s="10">
        <v>3</v>
      </c>
      <c r="B58" s="77" t="s">
        <v>187</v>
      </c>
      <c r="C58" s="77"/>
      <c r="D58" s="11" t="s">
        <v>74</v>
      </c>
      <c r="E58" s="11">
        <v>1</v>
      </c>
      <c r="F58" s="31">
        <v>46000000</v>
      </c>
      <c r="G58" s="46" t="s">
        <v>189</v>
      </c>
      <c r="H58" s="52">
        <f>F58*E58</f>
        <v>46000000</v>
      </c>
      <c r="I58" s="57"/>
    </row>
    <row r="59" spans="1:9" ht="19.8" customHeight="1" thickTop="1" thickBot="1" x14ac:dyDescent="0.35">
      <c r="A59" s="90"/>
      <c r="B59" s="66" t="s">
        <v>6</v>
      </c>
      <c r="C59" s="27" t="s">
        <v>177</v>
      </c>
      <c r="D59" s="14"/>
      <c r="E59" s="14"/>
      <c r="F59" s="26"/>
      <c r="G59" s="28"/>
      <c r="H59" s="28"/>
      <c r="I59" s="57"/>
    </row>
    <row r="60" spans="1:9" ht="35.4" customHeight="1" thickTop="1" thickBot="1" x14ac:dyDescent="0.35">
      <c r="A60" s="91"/>
      <c r="B60" s="67"/>
      <c r="C60" s="29" t="s">
        <v>178</v>
      </c>
      <c r="D60" s="14"/>
      <c r="E60" s="14"/>
      <c r="F60" s="26"/>
      <c r="G60" s="28"/>
      <c r="H60" s="28"/>
      <c r="I60" s="57"/>
    </row>
    <row r="61" spans="1:9" ht="21.6" customHeight="1" thickTop="1" thickBot="1" x14ac:dyDescent="0.35">
      <c r="A61" s="91"/>
      <c r="B61" s="67"/>
      <c r="C61" s="29" t="s">
        <v>192</v>
      </c>
      <c r="D61" s="92"/>
      <c r="E61" s="92"/>
      <c r="F61" s="83"/>
      <c r="G61" s="28"/>
      <c r="H61" s="80"/>
      <c r="I61" s="57"/>
    </row>
    <row r="62" spans="1:9" ht="15" customHeight="1" thickTop="1" thickBot="1" x14ac:dyDescent="0.35">
      <c r="A62" s="91"/>
      <c r="B62" s="67"/>
      <c r="C62" s="29" t="s">
        <v>179</v>
      </c>
      <c r="D62" s="92"/>
      <c r="E62" s="92"/>
      <c r="F62" s="83"/>
      <c r="G62" s="30"/>
      <c r="H62" s="81"/>
      <c r="I62" s="57"/>
    </row>
    <row r="63" spans="1:9" ht="48" thickTop="1" thickBot="1" x14ac:dyDescent="0.35">
      <c r="A63" s="91"/>
      <c r="B63" s="67"/>
      <c r="C63" s="29" t="s">
        <v>180</v>
      </c>
      <c r="D63" s="92"/>
      <c r="E63" s="92"/>
      <c r="F63" s="83"/>
      <c r="G63" s="30"/>
      <c r="H63" s="81"/>
      <c r="I63" s="57"/>
    </row>
    <row r="64" spans="1:9" ht="48" thickTop="1" thickBot="1" x14ac:dyDescent="0.35">
      <c r="A64" s="91"/>
      <c r="B64" s="67"/>
      <c r="C64" s="29" t="s">
        <v>181</v>
      </c>
      <c r="D64" s="92"/>
      <c r="E64" s="92"/>
      <c r="F64" s="83"/>
      <c r="G64" s="30"/>
      <c r="H64" s="81"/>
      <c r="I64" s="57"/>
    </row>
    <row r="65" spans="1:9" ht="32.4" thickTop="1" thickBot="1" x14ac:dyDescent="0.35">
      <c r="A65" s="91"/>
      <c r="B65" s="67"/>
      <c r="C65" s="29" t="s">
        <v>182</v>
      </c>
      <c r="D65" s="92"/>
      <c r="E65" s="92"/>
      <c r="F65" s="83"/>
      <c r="G65" s="30"/>
      <c r="H65" s="81"/>
      <c r="I65" s="57"/>
    </row>
    <row r="66" spans="1:9" ht="32.4" thickTop="1" thickBot="1" x14ac:dyDescent="0.35">
      <c r="A66" s="91"/>
      <c r="B66" s="67"/>
      <c r="C66" s="29" t="s">
        <v>183</v>
      </c>
      <c r="D66" s="92"/>
      <c r="E66" s="92"/>
      <c r="F66" s="83"/>
      <c r="G66" s="30"/>
      <c r="H66" s="81"/>
      <c r="I66" s="57"/>
    </row>
    <row r="67" spans="1:9" ht="48" thickTop="1" thickBot="1" x14ac:dyDescent="0.35">
      <c r="A67" s="91"/>
      <c r="B67" s="67"/>
      <c r="C67" s="29" t="s">
        <v>184</v>
      </c>
      <c r="D67" s="92"/>
      <c r="E67" s="92"/>
      <c r="F67" s="83"/>
      <c r="G67" s="30"/>
      <c r="H67" s="81"/>
      <c r="I67" s="57"/>
    </row>
    <row r="68" spans="1:9" ht="19.8" customHeight="1" thickTop="1" thickBot="1" x14ac:dyDescent="0.35">
      <c r="A68" s="91"/>
      <c r="B68" s="67"/>
      <c r="C68" s="29" t="s">
        <v>185</v>
      </c>
      <c r="D68" s="92"/>
      <c r="E68" s="92"/>
      <c r="F68" s="83"/>
      <c r="G68" s="30"/>
      <c r="H68" s="81"/>
      <c r="I68" s="57"/>
    </row>
    <row r="69" spans="1:9" ht="25.2" customHeight="1" thickTop="1" thickBot="1" x14ac:dyDescent="0.35">
      <c r="A69" s="91"/>
      <c r="B69" s="67"/>
      <c r="C69" s="29" t="s">
        <v>172</v>
      </c>
      <c r="D69" s="92"/>
      <c r="E69" s="92"/>
      <c r="F69" s="83"/>
      <c r="G69" s="30"/>
      <c r="H69" s="81"/>
      <c r="I69" s="57"/>
    </row>
    <row r="70" spans="1:9" ht="16.8" thickTop="1" thickBot="1" x14ac:dyDescent="0.35">
      <c r="A70" s="91"/>
      <c r="B70" s="67"/>
      <c r="C70" s="29" t="s">
        <v>186</v>
      </c>
      <c r="D70" s="92"/>
      <c r="E70" s="92"/>
      <c r="F70" s="83"/>
      <c r="G70" s="30"/>
      <c r="H70" s="81"/>
      <c r="I70" s="57"/>
    </row>
    <row r="71" spans="1:9" ht="16.8" thickTop="1" thickBot="1" x14ac:dyDescent="0.35">
      <c r="A71" s="91"/>
      <c r="B71" s="67"/>
      <c r="C71" s="29" t="s">
        <v>173</v>
      </c>
      <c r="D71" s="92"/>
      <c r="E71" s="92"/>
      <c r="F71" s="83"/>
      <c r="G71" s="30"/>
      <c r="H71" s="81"/>
      <c r="I71" s="57"/>
    </row>
    <row r="72" spans="1:9" ht="16.2" customHeight="1" thickTop="1" thickBot="1" x14ac:dyDescent="0.35">
      <c r="A72" s="10">
        <v>4</v>
      </c>
      <c r="B72" s="68" t="s">
        <v>193</v>
      </c>
      <c r="C72" s="69"/>
      <c r="D72" s="11" t="s">
        <v>74</v>
      </c>
      <c r="E72" s="11">
        <v>1</v>
      </c>
      <c r="F72" s="31">
        <v>49500000</v>
      </c>
      <c r="G72" s="32" t="s">
        <v>189</v>
      </c>
      <c r="H72" s="46">
        <f>F72*E72</f>
        <v>49500000</v>
      </c>
      <c r="I72" s="57"/>
    </row>
    <row r="73" spans="1:9" ht="33" customHeight="1" thickTop="1" thickBot="1" x14ac:dyDescent="0.35">
      <c r="A73" s="12"/>
      <c r="B73" s="13"/>
      <c r="C73" s="29" t="s">
        <v>164</v>
      </c>
      <c r="D73" s="33"/>
      <c r="E73" s="11"/>
      <c r="F73" s="31"/>
      <c r="G73" s="34"/>
      <c r="H73" s="53"/>
      <c r="I73" s="57"/>
    </row>
    <row r="74" spans="1:9" ht="18" customHeight="1" thickTop="1" thickBot="1" x14ac:dyDescent="0.35">
      <c r="A74" s="12"/>
      <c r="B74" s="13"/>
      <c r="C74" s="29" t="s">
        <v>165</v>
      </c>
      <c r="D74" s="33"/>
      <c r="E74" s="11"/>
      <c r="F74" s="31"/>
      <c r="G74" s="34"/>
      <c r="H74" s="53"/>
      <c r="I74" s="57"/>
    </row>
    <row r="75" spans="1:9" ht="16.8" thickTop="1" thickBot="1" x14ac:dyDescent="0.35">
      <c r="A75" s="12"/>
      <c r="B75" s="13"/>
      <c r="C75" s="29" t="s">
        <v>166</v>
      </c>
      <c r="D75" s="33"/>
      <c r="E75" s="11"/>
      <c r="F75" s="31"/>
      <c r="G75" s="34"/>
      <c r="H75" s="53"/>
      <c r="I75" s="57"/>
    </row>
    <row r="76" spans="1:9" ht="15" customHeight="1" thickTop="1" thickBot="1" x14ac:dyDescent="0.35">
      <c r="A76" s="12"/>
      <c r="B76" s="13"/>
      <c r="C76" s="29" t="s">
        <v>167</v>
      </c>
      <c r="D76" s="33"/>
      <c r="E76" s="11"/>
      <c r="F76" s="31"/>
      <c r="G76" s="34"/>
      <c r="H76" s="53"/>
      <c r="I76" s="57"/>
    </row>
    <row r="77" spans="1:9" ht="16.8" thickTop="1" thickBot="1" x14ac:dyDescent="0.35">
      <c r="A77" s="12"/>
      <c r="B77" s="13"/>
      <c r="C77" s="29" t="s">
        <v>168</v>
      </c>
      <c r="D77" s="33"/>
      <c r="E77" s="11"/>
      <c r="F77" s="31"/>
      <c r="G77" s="34"/>
      <c r="H77" s="53"/>
      <c r="I77" s="57"/>
    </row>
    <row r="78" spans="1:9" ht="32.4" thickTop="1" thickBot="1" x14ac:dyDescent="0.35">
      <c r="A78" s="12"/>
      <c r="B78" s="13"/>
      <c r="C78" s="29" t="s">
        <v>169</v>
      </c>
      <c r="D78" s="33"/>
      <c r="E78" s="11"/>
      <c r="F78" s="31"/>
      <c r="G78" s="34"/>
      <c r="H78" s="53"/>
      <c r="I78" s="57"/>
    </row>
    <row r="79" spans="1:9" ht="32.4" thickTop="1" thickBot="1" x14ac:dyDescent="0.35">
      <c r="A79" s="12"/>
      <c r="B79" s="13"/>
      <c r="C79" s="29" t="s">
        <v>170</v>
      </c>
      <c r="D79" s="33"/>
      <c r="E79" s="11"/>
      <c r="F79" s="31"/>
      <c r="G79" s="34"/>
      <c r="H79" s="53"/>
      <c r="I79" s="57"/>
    </row>
    <row r="80" spans="1:9" ht="32.4" thickTop="1" thickBot="1" x14ac:dyDescent="0.35">
      <c r="A80" s="12"/>
      <c r="B80" s="13"/>
      <c r="C80" s="29" t="s">
        <v>171</v>
      </c>
      <c r="D80" s="33"/>
      <c r="E80" s="11"/>
      <c r="F80" s="31"/>
      <c r="G80" s="34"/>
      <c r="H80" s="53"/>
      <c r="I80" s="57"/>
    </row>
    <row r="81" spans="1:9" ht="21" customHeight="1" thickTop="1" thickBot="1" x14ac:dyDescent="0.35">
      <c r="A81" s="12"/>
      <c r="B81" s="13"/>
      <c r="C81" s="29" t="s">
        <v>172</v>
      </c>
      <c r="D81" s="33"/>
      <c r="E81" s="11"/>
      <c r="F81" s="31"/>
      <c r="G81" s="34"/>
      <c r="H81" s="53"/>
      <c r="I81" s="57"/>
    </row>
    <row r="82" spans="1:9" ht="21" customHeight="1" thickTop="1" thickBot="1" x14ac:dyDescent="0.35">
      <c r="A82" s="12"/>
      <c r="B82" s="13"/>
      <c r="C82" s="29" t="s">
        <v>173</v>
      </c>
      <c r="D82" s="33"/>
      <c r="E82" s="11"/>
      <c r="F82" s="31"/>
      <c r="G82" s="34"/>
      <c r="H82" s="53"/>
      <c r="I82" s="57"/>
    </row>
    <row r="83" spans="1:9" ht="46.2" customHeight="1" thickTop="1" thickBot="1" x14ac:dyDescent="0.35">
      <c r="A83" s="90"/>
      <c r="B83" s="66"/>
      <c r="C83" s="29" t="s">
        <v>174</v>
      </c>
      <c r="D83" s="33"/>
      <c r="E83" s="14"/>
      <c r="F83" s="26"/>
      <c r="G83" s="35"/>
      <c r="H83" s="54"/>
      <c r="I83" s="57"/>
    </row>
    <row r="84" spans="1:9" ht="33" customHeight="1" thickTop="1" thickBot="1" x14ac:dyDescent="0.35">
      <c r="A84" s="91"/>
      <c r="B84" s="67"/>
      <c r="C84" s="29" t="s">
        <v>176</v>
      </c>
      <c r="D84" s="33"/>
      <c r="E84" s="14"/>
      <c r="F84" s="26"/>
      <c r="G84" s="35"/>
      <c r="H84" s="54"/>
      <c r="I84" s="57"/>
    </row>
    <row r="85" spans="1:9" ht="15.6" customHeight="1" thickTop="1" thickBot="1" x14ac:dyDescent="0.35">
      <c r="A85" s="91"/>
      <c r="B85" s="67"/>
      <c r="C85" s="29" t="s">
        <v>175</v>
      </c>
      <c r="D85" s="33"/>
      <c r="E85" s="14"/>
      <c r="F85" s="26"/>
      <c r="G85" s="35"/>
      <c r="H85" s="54"/>
      <c r="I85" s="57"/>
    </row>
    <row r="86" spans="1:9" ht="30.6" customHeight="1" thickTop="1" thickBot="1" x14ac:dyDescent="0.35">
      <c r="A86" s="3">
        <v>5</v>
      </c>
      <c r="B86" s="59" t="s">
        <v>78</v>
      </c>
      <c r="C86" s="59"/>
      <c r="D86" s="4" t="s">
        <v>12</v>
      </c>
      <c r="E86" s="7">
        <v>15</v>
      </c>
      <c r="F86" s="36">
        <v>5500000</v>
      </c>
      <c r="G86" s="37">
        <f>F86*0.08</f>
        <v>440000</v>
      </c>
      <c r="H86" s="37">
        <f>SUM(F86:G86)*E86</f>
        <v>89100000</v>
      </c>
      <c r="I86" s="57"/>
    </row>
    <row r="87" spans="1:9" ht="15" customHeight="1" thickTop="1" thickBot="1" x14ac:dyDescent="0.35">
      <c r="A87" s="87"/>
      <c r="B87" s="71"/>
      <c r="C87" s="5" t="s">
        <v>87</v>
      </c>
      <c r="D87" s="71"/>
      <c r="E87" s="71"/>
      <c r="F87" s="60"/>
      <c r="G87" s="60"/>
      <c r="H87" s="63"/>
      <c r="I87" s="57"/>
    </row>
    <row r="88" spans="1:9" ht="15" customHeight="1" thickTop="1" thickBot="1" x14ac:dyDescent="0.35">
      <c r="A88" s="88"/>
      <c r="B88" s="72"/>
      <c r="C88" s="5" t="s">
        <v>77</v>
      </c>
      <c r="D88" s="72"/>
      <c r="E88" s="72"/>
      <c r="F88" s="61"/>
      <c r="G88" s="61"/>
      <c r="H88" s="64"/>
      <c r="I88" s="57"/>
    </row>
    <row r="89" spans="1:9" ht="15" customHeight="1" thickTop="1" thickBot="1" x14ac:dyDescent="0.35">
      <c r="A89" s="88"/>
      <c r="B89" s="72"/>
      <c r="C89" s="5" t="s">
        <v>79</v>
      </c>
      <c r="D89" s="72"/>
      <c r="E89" s="72"/>
      <c r="F89" s="61"/>
      <c r="G89" s="61"/>
      <c r="H89" s="64"/>
      <c r="I89" s="57"/>
    </row>
    <row r="90" spans="1:9" ht="15" customHeight="1" thickTop="1" thickBot="1" x14ac:dyDescent="0.35">
      <c r="A90" s="88"/>
      <c r="B90" s="72"/>
      <c r="C90" s="5" t="s">
        <v>80</v>
      </c>
      <c r="D90" s="72"/>
      <c r="E90" s="72"/>
      <c r="F90" s="61"/>
      <c r="G90" s="61"/>
      <c r="H90" s="64"/>
      <c r="I90" s="57"/>
    </row>
    <row r="91" spans="1:9" ht="15" customHeight="1" thickTop="1" thickBot="1" x14ac:dyDescent="0.35">
      <c r="A91" s="88"/>
      <c r="B91" s="72"/>
      <c r="C91" s="5" t="s">
        <v>81</v>
      </c>
      <c r="D91" s="72"/>
      <c r="E91" s="72"/>
      <c r="F91" s="61"/>
      <c r="G91" s="61"/>
      <c r="H91" s="64"/>
      <c r="I91" s="57"/>
    </row>
    <row r="92" spans="1:9" ht="15" customHeight="1" thickTop="1" thickBot="1" x14ac:dyDescent="0.35">
      <c r="A92" s="88"/>
      <c r="B92" s="72"/>
      <c r="C92" s="5" t="s">
        <v>82</v>
      </c>
      <c r="D92" s="72"/>
      <c r="E92" s="72"/>
      <c r="F92" s="61"/>
      <c r="G92" s="61"/>
      <c r="H92" s="64"/>
      <c r="I92" s="57"/>
    </row>
    <row r="93" spans="1:9" ht="15" customHeight="1" thickTop="1" thickBot="1" x14ac:dyDescent="0.35">
      <c r="A93" s="88"/>
      <c r="B93" s="72"/>
      <c r="C93" s="5" t="s">
        <v>83</v>
      </c>
      <c r="D93" s="72"/>
      <c r="E93" s="72"/>
      <c r="F93" s="61"/>
      <c r="G93" s="61"/>
      <c r="H93" s="64"/>
      <c r="I93" s="57"/>
    </row>
    <row r="94" spans="1:9" ht="15" customHeight="1" thickTop="1" thickBot="1" x14ac:dyDescent="0.35">
      <c r="A94" s="88"/>
      <c r="B94" s="72"/>
      <c r="C94" s="5" t="s">
        <v>84</v>
      </c>
      <c r="D94" s="72"/>
      <c r="E94" s="72"/>
      <c r="F94" s="61"/>
      <c r="G94" s="61"/>
      <c r="H94" s="64"/>
      <c r="I94" s="57"/>
    </row>
    <row r="95" spans="1:9" ht="15" customHeight="1" thickTop="1" thickBot="1" x14ac:dyDescent="0.35">
      <c r="A95" s="88"/>
      <c r="B95" s="72"/>
      <c r="C95" s="5" t="s">
        <v>85</v>
      </c>
      <c r="D95" s="72"/>
      <c r="E95" s="72"/>
      <c r="F95" s="61"/>
      <c r="G95" s="61"/>
      <c r="H95" s="64"/>
      <c r="I95" s="57"/>
    </row>
    <row r="96" spans="1:9" ht="15" customHeight="1" thickTop="1" thickBot="1" x14ac:dyDescent="0.35">
      <c r="A96" s="88"/>
      <c r="B96" s="72"/>
      <c r="C96" s="5" t="s">
        <v>86</v>
      </c>
      <c r="D96" s="72"/>
      <c r="E96" s="72"/>
      <c r="F96" s="61"/>
      <c r="G96" s="61"/>
      <c r="H96" s="64"/>
      <c r="I96" s="57"/>
    </row>
    <row r="97" spans="1:9" ht="15" customHeight="1" thickTop="1" thickBot="1" x14ac:dyDescent="0.35">
      <c r="A97" s="88"/>
      <c r="B97" s="72"/>
      <c r="C97" s="5" t="s">
        <v>88</v>
      </c>
      <c r="D97" s="72"/>
      <c r="E97" s="72"/>
      <c r="F97" s="61"/>
      <c r="G97" s="61"/>
      <c r="H97" s="64"/>
      <c r="I97" s="57"/>
    </row>
    <row r="98" spans="1:9" ht="15" customHeight="1" thickTop="1" thickBot="1" x14ac:dyDescent="0.35">
      <c r="A98" s="88"/>
      <c r="B98" s="72"/>
      <c r="C98" s="5" t="s">
        <v>89</v>
      </c>
      <c r="D98" s="72"/>
      <c r="E98" s="72"/>
      <c r="F98" s="61"/>
      <c r="G98" s="61"/>
      <c r="H98" s="64"/>
      <c r="I98" s="57"/>
    </row>
    <row r="99" spans="1:9" ht="15" customHeight="1" thickTop="1" thickBot="1" x14ac:dyDescent="0.35">
      <c r="A99" s="89"/>
      <c r="B99" s="73"/>
      <c r="C99" s="5" t="s">
        <v>90</v>
      </c>
      <c r="D99" s="73"/>
      <c r="E99" s="73"/>
      <c r="F99" s="62"/>
      <c r="G99" s="62"/>
      <c r="H99" s="65"/>
      <c r="I99" s="57"/>
    </row>
    <row r="100" spans="1:9" ht="16.8" thickTop="1" thickBot="1" x14ac:dyDescent="0.35">
      <c r="A100" s="3">
        <v>6</v>
      </c>
      <c r="B100" s="59" t="s">
        <v>91</v>
      </c>
      <c r="C100" s="59"/>
      <c r="D100" s="4" t="s">
        <v>12</v>
      </c>
      <c r="E100" s="4">
        <v>2</v>
      </c>
      <c r="F100" s="36">
        <v>13000000</v>
      </c>
      <c r="G100" s="37">
        <f>F100*0.08</f>
        <v>1040000</v>
      </c>
      <c r="H100" s="37">
        <f>SUM(F100:G100)*E100</f>
        <v>28080000</v>
      </c>
      <c r="I100" s="57"/>
    </row>
    <row r="101" spans="1:9" ht="15" customHeight="1" thickTop="1" thickBot="1" x14ac:dyDescent="0.35">
      <c r="A101" s="84"/>
      <c r="B101" s="71"/>
      <c r="C101" s="38" t="s">
        <v>92</v>
      </c>
      <c r="D101" s="5"/>
      <c r="E101" s="5"/>
      <c r="F101" s="44"/>
      <c r="G101" s="17"/>
      <c r="H101" s="17"/>
      <c r="I101" s="57"/>
    </row>
    <row r="102" spans="1:9" ht="15" customHeight="1" thickTop="1" thickBot="1" x14ac:dyDescent="0.35">
      <c r="A102" s="85"/>
      <c r="B102" s="72"/>
      <c r="C102" s="38" t="s">
        <v>93</v>
      </c>
      <c r="D102" s="5"/>
      <c r="E102" s="5"/>
      <c r="F102" s="44"/>
      <c r="G102" s="17"/>
      <c r="H102" s="17"/>
      <c r="I102" s="57"/>
    </row>
    <row r="103" spans="1:9" ht="15" customHeight="1" thickTop="1" thickBot="1" x14ac:dyDescent="0.35">
      <c r="A103" s="85"/>
      <c r="B103" s="72"/>
      <c r="C103" s="39" t="s">
        <v>94</v>
      </c>
      <c r="D103" s="5"/>
      <c r="E103" s="5"/>
      <c r="F103" s="44"/>
      <c r="G103" s="17"/>
      <c r="H103" s="17"/>
      <c r="I103" s="57"/>
    </row>
    <row r="104" spans="1:9" ht="15" customHeight="1" thickTop="1" thickBot="1" x14ac:dyDescent="0.35">
      <c r="A104" s="85"/>
      <c r="B104" s="72"/>
      <c r="C104" s="38" t="s">
        <v>20</v>
      </c>
      <c r="D104" s="5"/>
      <c r="E104" s="5"/>
      <c r="F104" s="44"/>
      <c r="G104" s="17"/>
      <c r="H104" s="17"/>
      <c r="I104" s="57"/>
    </row>
    <row r="105" spans="1:9" ht="15" customHeight="1" thickTop="1" thickBot="1" x14ac:dyDescent="0.35">
      <c r="A105" s="85"/>
      <c r="B105" s="72"/>
      <c r="C105" s="38" t="s">
        <v>95</v>
      </c>
      <c r="D105" s="5"/>
      <c r="E105" s="5"/>
      <c r="F105" s="44"/>
      <c r="G105" s="17"/>
      <c r="H105" s="17"/>
      <c r="I105" s="57"/>
    </row>
    <row r="106" spans="1:9" ht="15" customHeight="1" thickTop="1" thickBot="1" x14ac:dyDescent="0.35">
      <c r="A106" s="85"/>
      <c r="B106" s="72"/>
      <c r="C106" s="38" t="s">
        <v>96</v>
      </c>
      <c r="D106" s="5"/>
      <c r="E106" s="5"/>
      <c r="F106" s="44"/>
      <c r="G106" s="17"/>
      <c r="H106" s="17"/>
      <c r="I106" s="57"/>
    </row>
    <row r="107" spans="1:9" ht="15" customHeight="1" thickTop="1" thickBot="1" x14ac:dyDescent="0.35">
      <c r="A107" s="85"/>
      <c r="B107" s="72"/>
      <c r="C107" s="38" t="s">
        <v>97</v>
      </c>
      <c r="D107" s="5"/>
      <c r="E107" s="5"/>
      <c r="F107" s="44"/>
      <c r="G107" s="17"/>
      <c r="H107" s="17"/>
      <c r="I107" s="57"/>
    </row>
    <row r="108" spans="1:9" ht="15" customHeight="1" thickTop="1" thickBot="1" x14ac:dyDescent="0.35">
      <c r="A108" s="85"/>
      <c r="B108" s="72"/>
      <c r="C108" s="38" t="s">
        <v>98</v>
      </c>
      <c r="D108" s="5"/>
      <c r="E108" s="5"/>
      <c r="F108" s="44"/>
      <c r="G108" s="17"/>
      <c r="H108" s="17"/>
      <c r="I108" s="57"/>
    </row>
    <row r="109" spans="1:9" ht="15" customHeight="1" thickTop="1" thickBot="1" x14ac:dyDescent="0.35">
      <c r="A109" s="85"/>
      <c r="B109" s="72"/>
      <c r="C109" s="25" t="s">
        <v>99</v>
      </c>
      <c r="D109" s="5"/>
      <c r="E109" s="5"/>
      <c r="F109" s="44"/>
      <c r="G109" s="17"/>
      <c r="H109" s="17"/>
      <c r="I109" s="57"/>
    </row>
    <row r="110" spans="1:9" ht="63.6" thickTop="1" thickBot="1" x14ac:dyDescent="0.35">
      <c r="A110" s="85"/>
      <c r="B110" s="72"/>
      <c r="C110" s="38" t="s">
        <v>100</v>
      </c>
      <c r="D110" s="5"/>
      <c r="E110" s="5"/>
      <c r="F110" s="44"/>
      <c r="G110" s="17"/>
      <c r="H110" s="17"/>
      <c r="I110" s="57"/>
    </row>
    <row r="111" spans="1:9" ht="29.4" customHeight="1" thickTop="1" thickBot="1" x14ac:dyDescent="0.35">
      <c r="A111" s="85"/>
      <c r="B111" s="72"/>
      <c r="C111" s="38" t="s">
        <v>101</v>
      </c>
      <c r="D111" s="5"/>
      <c r="E111" s="5"/>
      <c r="F111" s="44"/>
      <c r="G111" s="17"/>
      <c r="H111" s="17"/>
      <c r="I111" s="57"/>
    </row>
    <row r="112" spans="1:9" ht="15" customHeight="1" thickTop="1" thickBot="1" x14ac:dyDescent="0.35">
      <c r="A112" s="85"/>
      <c r="B112" s="72"/>
      <c r="C112" s="40" t="s">
        <v>102</v>
      </c>
      <c r="D112" s="5"/>
      <c r="E112" s="5"/>
      <c r="F112" s="44"/>
      <c r="G112" s="17"/>
      <c r="H112" s="17"/>
      <c r="I112" s="57"/>
    </row>
    <row r="113" spans="1:9" ht="32.4" thickTop="1" thickBot="1" x14ac:dyDescent="0.35">
      <c r="A113" s="85"/>
      <c r="B113" s="72"/>
      <c r="C113" s="38" t="s">
        <v>103</v>
      </c>
      <c r="D113" s="5"/>
      <c r="E113" s="5"/>
      <c r="F113" s="44"/>
      <c r="G113" s="17"/>
      <c r="H113" s="17"/>
      <c r="I113" s="57"/>
    </row>
    <row r="114" spans="1:9" ht="32.4" thickTop="1" thickBot="1" x14ac:dyDescent="0.35">
      <c r="A114" s="85"/>
      <c r="B114" s="72"/>
      <c r="C114" s="38" t="s">
        <v>104</v>
      </c>
      <c r="D114" s="5"/>
      <c r="E114" s="5"/>
      <c r="F114" s="44"/>
      <c r="G114" s="17"/>
      <c r="H114" s="17"/>
      <c r="I114" s="57"/>
    </row>
    <row r="115" spans="1:9" ht="32.4" thickTop="1" thickBot="1" x14ac:dyDescent="0.35">
      <c r="A115" s="85"/>
      <c r="B115" s="72"/>
      <c r="C115" s="40" t="s">
        <v>105</v>
      </c>
      <c r="D115" s="5"/>
      <c r="E115" s="5"/>
      <c r="F115" s="44"/>
      <c r="G115" s="17"/>
      <c r="H115" s="17"/>
      <c r="I115" s="57"/>
    </row>
    <row r="116" spans="1:9" ht="48" thickTop="1" thickBot="1" x14ac:dyDescent="0.35">
      <c r="A116" s="85"/>
      <c r="B116" s="72"/>
      <c r="C116" s="40" t="s">
        <v>106</v>
      </c>
      <c r="D116" s="5"/>
      <c r="E116" s="5"/>
      <c r="F116" s="44"/>
      <c r="G116" s="17"/>
      <c r="H116" s="17"/>
      <c r="I116" s="57"/>
    </row>
    <row r="117" spans="1:9" ht="15" customHeight="1" thickTop="1" thickBot="1" x14ac:dyDescent="0.35">
      <c r="A117" s="85"/>
      <c r="B117" s="72"/>
      <c r="C117" s="41" t="s">
        <v>107</v>
      </c>
      <c r="D117" s="5"/>
      <c r="E117" s="5"/>
      <c r="F117" s="44"/>
      <c r="G117" s="17"/>
      <c r="H117" s="17"/>
      <c r="I117" s="57"/>
    </row>
    <row r="118" spans="1:9" ht="54.6" customHeight="1" thickTop="1" thickBot="1" x14ac:dyDescent="0.35">
      <c r="A118" s="85"/>
      <c r="B118" s="72"/>
      <c r="C118" s="42" t="s">
        <v>108</v>
      </c>
      <c r="D118" s="5"/>
      <c r="E118" s="5"/>
      <c r="F118" s="44"/>
      <c r="G118" s="17"/>
      <c r="H118" s="17"/>
      <c r="I118" s="57"/>
    </row>
    <row r="119" spans="1:9" ht="28.2" customHeight="1" thickTop="1" thickBot="1" x14ac:dyDescent="0.35">
      <c r="A119" s="85"/>
      <c r="B119" s="72"/>
      <c r="C119" s="42" t="s">
        <v>109</v>
      </c>
      <c r="D119" s="5"/>
      <c r="E119" s="5"/>
      <c r="F119" s="44"/>
      <c r="G119" s="17"/>
      <c r="H119" s="17"/>
      <c r="I119" s="57"/>
    </row>
    <row r="120" spans="1:9" ht="26.4" customHeight="1" thickTop="1" thickBot="1" x14ac:dyDescent="0.35">
      <c r="A120" s="85"/>
      <c r="B120" s="72"/>
      <c r="C120" s="42" t="s">
        <v>110</v>
      </c>
      <c r="D120" s="5"/>
      <c r="E120" s="5"/>
      <c r="F120" s="44"/>
      <c r="G120" s="17"/>
      <c r="H120" s="17"/>
      <c r="I120" s="57"/>
    </row>
    <row r="121" spans="1:9" ht="26.4" customHeight="1" thickTop="1" thickBot="1" x14ac:dyDescent="0.35">
      <c r="A121" s="85"/>
      <c r="B121" s="72"/>
      <c r="C121" s="42" t="s">
        <v>111</v>
      </c>
      <c r="D121" s="5"/>
      <c r="E121" s="5"/>
      <c r="F121" s="44"/>
      <c r="G121" s="17"/>
      <c r="H121" s="17"/>
      <c r="I121" s="57"/>
    </row>
    <row r="122" spans="1:9" ht="14.4" customHeight="1" thickTop="1" thickBot="1" x14ac:dyDescent="0.35">
      <c r="A122" s="85"/>
      <c r="B122" s="72"/>
      <c r="C122" s="38" t="s">
        <v>112</v>
      </c>
      <c r="D122" s="5"/>
      <c r="E122" s="5"/>
      <c r="F122" s="44"/>
      <c r="G122" s="17"/>
      <c r="H122" s="17"/>
      <c r="I122" s="57"/>
    </row>
    <row r="123" spans="1:9" ht="29.4" customHeight="1" thickTop="1" thickBot="1" x14ac:dyDescent="0.35">
      <c r="A123" s="85"/>
      <c r="B123" s="72"/>
      <c r="C123" s="40" t="s">
        <v>113</v>
      </c>
      <c r="D123" s="5"/>
      <c r="E123" s="5"/>
      <c r="F123" s="44"/>
      <c r="G123" s="17"/>
      <c r="H123" s="17"/>
      <c r="I123" s="57"/>
    </row>
    <row r="124" spans="1:9" ht="29.4" customHeight="1" thickTop="1" thickBot="1" x14ac:dyDescent="0.35">
      <c r="A124" s="85"/>
      <c r="B124" s="72"/>
      <c r="C124" s="40" t="s">
        <v>114</v>
      </c>
      <c r="D124" s="7"/>
      <c r="E124" s="7"/>
      <c r="F124" s="16"/>
      <c r="G124" s="17"/>
      <c r="H124" s="17"/>
      <c r="I124" s="57"/>
    </row>
    <row r="125" spans="1:9" ht="42.6" customHeight="1" thickTop="1" thickBot="1" x14ac:dyDescent="0.35">
      <c r="A125" s="86"/>
      <c r="B125" s="73"/>
      <c r="C125" s="40" t="s">
        <v>115</v>
      </c>
      <c r="D125" s="7"/>
      <c r="E125" s="7"/>
      <c r="F125" s="16"/>
      <c r="G125" s="17"/>
      <c r="H125" s="17"/>
      <c r="I125" s="57"/>
    </row>
    <row r="126" spans="1:9" ht="31.8" customHeight="1" thickTop="1" thickBot="1" x14ac:dyDescent="0.35">
      <c r="A126" s="3">
        <v>7</v>
      </c>
      <c r="B126" s="59" t="s">
        <v>116</v>
      </c>
      <c r="C126" s="59"/>
      <c r="D126" s="4" t="s">
        <v>9</v>
      </c>
      <c r="E126" s="4">
        <v>1</v>
      </c>
      <c r="F126" s="43">
        <v>13175086</v>
      </c>
      <c r="G126" s="36">
        <f>F126*0.08</f>
        <v>1054006.8800000001</v>
      </c>
      <c r="H126" s="55">
        <f>SUM(F126:G126)*E126</f>
        <v>14229092.880000001</v>
      </c>
      <c r="I126" s="57"/>
    </row>
    <row r="127" spans="1:9" ht="15" customHeight="1" thickTop="1" thickBot="1" x14ac:dyDescent="0.35">
      <c r="A127" s="47"/>
      <c r="B127" s="71" t="s">
        <v>117</v>
      </c>
      <c r="C127" s="5" t="s">
        <v>118</v>
      </c>
      <c r="D127" s="71" t="s">
        <v>9</v>
      </c>
      <c r="E127" s="71">
        <v>1</v>
      </c>
      <c r="F127" s="60"/>
      <c r="G127" s="82"/>
      <c r="H127" s="63"/>
      <c r="I127" s="57"/>
    </row>
    <row r="128" spans="1:9" ht="15" customHeight="1" thickTop="1" thickBot="1" x14ac:dyDescent="0.35">
      <c r="A128" s="48"/>
      <c r="B128" s="72"/>
      <c r="C128" s="5" t="s">
        <v>119</v>
      </c>
      <c r="D128" s="72"/>
      <c r="E128" s="72"/>
      <c r="F128" s="61"/>
      <c r="G128" s="82"/>
      <c r="H128" s="64"/>
      <c r="I128" s="57"/>
    </row>
    <row r="129" spans="1:9" ht="49.8" customHeight="1" thickTop="1" thickBot="1" x14ac:dyDescent="0.35">
      <c r="A129" s="48"/>
      <c r="B129" s="72"/>
      <c r="C129" s="5" t="s">
        <v>120</v>
      </c>
      <c r="D129" s="72"/>
      <c r="E129" s="72"/>
      <c r="F129" s="61"/>
      <c r="G129" s="82"/>
      <c r="H129" s="64"/>
      <c r="I129" s="57"/>
    </row>
    <row r="130" spans="1:9" ht="16.8" customHeight="1" thickTop="1" thickBot="1" x14ac:dyDescent="0.35">
      <c r="A130" s="48"/>
      <c r="B130" s="72"/>
      <c r="C130" s="5" t="s">
        <v>121</v>
      </c>
      <c r="D130" s="72"/>
      <c r="E130" s="72"/>
      <c r="F130" s="61"/>
      <c r="G130" s="82"/>
      <c r="H130" s="64"/>
      <c r="I130" s="57"/>
    </row>
    <row r="131" spans="1:9" ht="16.8" customHeight="1" thickTop="1" thickBot="1" x14ac:dyDescent="0.35">
      <c r="A131" s="48"/>
      <c r="B131" s="72"/>
      <c r="C131" s="5" t="s">
        <v>122</v>
      </c>
      <c r="D131" s="72"/>
      <c r="E131" s="72"/>
      <c r="F131" s="61"/>
      <c r="G131" s="82"/>
      <c r="H131" s="64"/>
      <c r="I131" s="57"/>
    </row>
    <row r="132" spans="1:9" ht="32.4" customHeight="1" thickTop="1" thickBot="1" x14ac:dyDescent="0.35">
      <c r="A132" s="48"/>
      <c r="B132" s="72"/>
      <c r="C132" s="5" t="s">
        <v>123</v>
      </c>
      <c r="D132" s="72"/>
      <c r="E132" s="72"/>
      <c r="F132" s="61"/>
      <c r="G132" s="82"/>
      <c r="H132" s="64"/>
      <c r="I132" s="57"/>
    </row>
    <row r="133" spans="1:9" ht="18.600000000000001" customHeight="1" thickTop="1" thickBot="1" x14ac:dyDescent="0.35">
      <c r="A133" s="48"/>
      <c r="B133" s="72"/>
      <c r="C133" s="5" t="s">
        <v>124</v>
      </c>
      <c r="D133" s="72"/>
      <c r="E133" s="72"/>
      <c r="F133" s="61"/>
      <c r="G133" s="82"/>
      <c r="H133" s="64"/>
      <c r="I133" s="57"/>
    </row>
    <row r="134" spans="1:9" ht="18.600000000000001" customHeight="1" thickTop="1" thickBot="1" x14ac:dyDescent="0.35">
      <c r="A134" s="48"/>
      <c r="B134" s="72"/>
      <c r="C134" s="5" t="s">
        <v>125</v>
      </c>
      <c r="D134" s="72"/>
      <c r="E134" s="72"/>
      <c r="F134" s="61"/>
      <c r="G134" s="82"/>
      <c r="H134" s="64"/>
      <c r="I134" s="57"/>
    </row>
    <row r="135" spans="1:9" ht="15" customHeight="1" thickTop="1" thickBot="1" x14ac:dyDescent="0.35">
      <c r="A135" s="48"/>
      <c r="B135" s="72"/>
      <c r="C135" s="5" t="s">
        <v>126</v>
      </c>
      <c r="D135" s="72"/>
      <c r="E135" s="72"/>
      <c r="F135" s="61"/>
      <c r="G135" s="82"/>
      <c r="H135" s="64"/>
      <c r="I135" s="57"/>
    </row>
    <row r="136" spans="1:9" ht="15" customHeight="1" thickTop="1" thickBot="1" x14ac:dyDescent="0.35">
      <c r="A136" s="48"/>
      <c r="B136" s="72"/>
      <c r="C136" s="5" t="s">
        <v>127</v>
      </c>
      <c r="D136" s="72"/>
      <c r="E136" s="72"/>
      <c r="F136" s="61"/>
      <c r="G136" s="82"/>
      <c r="H136" s="64"/>
      <c r="I136" s="57"/>
    </row>
    <row r="137" spans="1:9" ht="15" customHeight="1" thickTop="1" thickBot="1" x14ac:dyDescent="0.35">
      <c r="A137" s="48"/>
      <c r="B137" s="72"/>
      <c r="C137" s="5" t="s">
        <v>128</v>
      </c>
      <c r="D137" s="72"/>
      <c r="E137" s="72"/>
      <c r="F137" s="61"/>
      <c r="G137" s="82"/>
      <c r="H137" s="64"/>
      <c r="I137" s="57"/>
    </row>
    <row r="138" spans="1:9" ht="15" customHeight="1" thickTop="1" thickBot="1" x14ac:dyDescent="0.35">
      <c r="A138" s="48"/>
      <c r="B138" s="72"/>
      <c r="C138" s="5" t="s">
        <v>129</v>
      </c>
      <c r="D138" s="72"/>
      <c r="E138" s="72"/>
      <c r="F138" s="61"/>
      <c r="G138" s="82"/>
      <c r="H138" s="64"/>
      <c r="I138" s="57"/>
    </row>
    <row r="139" spans="1:9" ht="15" customHeight="1" thickTop="1" thickBot="1" x14ac:dyDescent="0.35">
      <c r="A139" s="48"/>
      <c r="B139" s="73"/>
      <c r="C139" s="5" t="s">
        <v>130</v>
      </c>
      <c r="D139" s="73"/>
      <c r="E139" s="73"/>
      <c r="F139" s="62"/>
      <c r="G139" s="82"/>
      <c r="H139" s="65"/>
      <c r="I139" s="57"/>
    </row>
    <row r="140" spans="1:9" ht="19.2" customHeight="1" thickTop="1" thickBot="1" x14ac:dyDescent="0.35">
      <c r="A140" s="48"/>
      <c r="B140" s="71" t="s">
        <v>132</v>
      </c>
      <c r="C140" s="5" t="s">
        <v>131</v>
      </c>
      <c r="D140" s="71" t="s">
        <v>12</v>
      </c>
      <c r="E140" s="71">
        <v>2</v>
      </c>
      <c r="F140" s="60"/>
      <c r="G140" s="60"/>
      <c r="H140" s="63"/>
      <c r="I140" s="57"/>
    </row>
    <row r="141" spans="1:9" ht="32.4" thickTop="1" thickBot="1" x14ac:dyDescent="0.35">
      <c r="A141" s="48"/>
      <c r="B141" s="72"/>
      <c r="C141" s="5" t="s">
        <v>133</v>
      </c>
      <c r="D141" s="72"/>
      <c r="E141" s="72"/>
      <c r="F141" s="61"/>
      <c r="G141" s="61"/>
      <c r="H141" s="64"/>
      <c r="I141" s="57"/>
    </row>
    <row r="142" spans="1:9" ht="15" customHeight="1" thickTop="1" thickBot="1" x14ac:dyDescent="0.35">
      <c r="A142" s="48"/>
      <c r="B142" s="72"/>
      <c r="C142" s="5" t="s">
        <v>134</v>
      </c>
      <c r="D142" s="72"/>
      <c r="E142" s="72"/>
      <c r="F142" s="61"/>
      <c r="G142" s="61"/>
      <c r="H142" s="64"/>
      <c r="I142" s="57"/>
    </row>
    <row r="143" spans="1:9" ht="15" customHeight="1" thickTop="1" thickBot="1" x14ac:dyDescent="0.35">
      <c r="A143" s="48"/>
      <c r="B143" s="72"/>
      <c r="C143" s="5" t="s">
        <v>135</v>
      </c>
      <c r="D143" s="72"/>
      <c r="E143" s="72"/>
      <c r="F143" s="61"/>
      <c r="G143" s="61"/>
      <c r="H143" s="64"/>
      <c r="I143" s="57"/>
    </row>
    <row r="144" spans="1:9" ht="15" customHeight="1" thickTop="1" thickBot="1" x14ac:dyDescent="0.35">
      <c r="A144" s="48"/>
      <c r="B144" s="72"/>
      <c r="C144" s="5" t="s">
        <v>136</v>
      </c>
      <c r="D144" s="72"/>
      <c r="E144" s="72"/>
      <c r="F144" s="61"/>
      <c r="G144" s="61"/>
      <c r="H144" s="64"/>
      <c r="I144" s="57"/>
    </row>
    <row r="145" spans="1:9" ht="15" customHeight="1" thickTop="1" thickBot="1" x14ac:dyDescent="0.35">
      <c r="A145" s="48"/>
      <c r="B145" s="72"/>
      <c r="C145" s="5" t="s">
        <v>143</v>
      </c>
      <c r="D145" s="72"/>
      <c r="E145" s="72"/>
      <c r="F145" s="61"/>
      <c r="G145" s="61"/>
      <c r="H145" s="64"/>
      <c r="I145" s="57"/>
    </row>
    <row r="146" spans="1:9" ht="15" customHeight="1" thickTop="1" thickBot="1" x14ac:dyDescent="0.35">
      <c r="A146" s="48"/>
      <c r="B146" s="72"/>
      <c r="C146" s="5" t="s">
        <v>137</v>
      </c>
      <c r="D146" s="72"/>
      <c r="E146" s="72"/>
      <c r="F146" s="61"/>
      <c r="G146" s="61"/>
      <c r="H146" s="64"/>
      <c r="I146" s="57"/>
    </row>
    <row r="147" spans="1:9" ht="15" customHeight="1" thickTop="1" thickBot="1" x14ac:dyDescent="0.35">
      <c r="A147" s="48"/>
      <c r="B147" s="72"/>
      <c r="C147" s="5" t="s">
        <v>138</v>
      </c>
      <c r="D147" s="72"/>
      <c r="E147" s="72"/>
      <c r="F147" s="61"/>
      <c r="G147" s="61"/>
      <c r="H147" s="64"/>
      <c r="I147" s="57"/>
    </row>
    <row r="148" spans="1:9" ht="16.8" thickTop="1" thickBot="1" x14ac:dyDescent="0.35">
      <c r="A148" s="48"/>
      <c r="B148" s="72"/>
      <c r="C148" s="5" t="s">
        <v>142</v>
      </c>
      <c r="D148" s="72"/>
      <c r="E148" s="72"/>
      <c r="F148" s="61"/>
      <c r="G148" s="61"/>
      <c r="H148" s="64"/>
      <c r="I148" s="57"/>
    </row>
    <row r="149" spans="1:9" ht="15" customHeight="1" thickTop="1" thickBot="1" x14ac:dyDescent="0.35">
      <c r="A149" s="48"/>
      <c r="B149" s="72"/>
      <c r="C149" s="5" t="s">
        <v>139</v>
      </c>
      <c r="D149" s="72"/>
      <c r="E149" s="72"/>
      <c r="F149" s="61"/>
      <c r="G149" s="61"/>
      <c r="H149" s="64"/>
      <c r="I149" s="57"/>
    </row>
    <row r="150" spans="1:9" ht="15" customHeight="1" thickTop="1" thickBot="1" x14ac:dyDescent="0.35">
      <c r="A150" s="48"/>
      <c r="B150" s="72"/>
      <c r="C150" s="5" t="s">
        <v>141</v>
      </c>
      <c r="D150" s="72"/>
      <c r="E150" s="72"/>
      <c r="F150" s="61"/>
      <c r="G150" s="61"/>
      <c r="H150" s="64"/>
      <c r="I150" s="57"/>
    </row>
    <row r="151" spans="1:9" ht="15" customHeight="1" thickTop="1" thickBot="1" x14ac:dyDescent="0.35">
      <c r="A151" s="48"/>
      <c r="B151" s="73"/>
      <c r="C151" s="5" t="s">
        <v>140</v>
      </c>
      <c r="D151" s="73"/>
      <c r="E151" s="73"/>
      <c r="F151" s="62"/>
      <c r="G151" s="62"/>
      <c r="H151" s="65"/>
      <c r="I151" s="57"/>
    </row>
    <row r="152" spans="1:9" ht="15" customHeight="1" thickTop="1" thickBot="1" x14ac:dyDescent="0.35">
      <c r="A152" s="48"/>
      <c r="B152" s="71" t="s">
        <v>144</v>
      </c>
      <c r="C152" s="5" t="s">
        <v>145</v>
      </c>
      <c r="D152" s="71" t="s">
        <v>12</v>
      </c>
      <c r="E152" s="71">
        <v>1</v>
      </c>
      <c r="F152" s="60"/>
      <c r="G152" s="60"/>
      <c r="H152" s="63"/>
      <c r="I152" s="57"/>
    </row>
    <row r="153" spans="1:9" ht="15" customHeight="1" thickTop="1" thickBot="1" x14ac:dyDescent="0.35">
      <c r="A153" s="48"/>
      <c r="B153" s="72"/>
      <c r="C153" s="5" t="s">
        <v>146</v>
      </c>
      <c r="D153" s="72"/>
      <c r="E153" s="72"/>
      <c r="F153" s="61"/>
      <c r="G153" s="61"/>
      <c r="H153" s="64"/>
      <c r="I153" s="57"/>
    </row>
    <row r="154" spans="1:9" ht="15" customHeight="1" thickTop="1" thickBot="1" x14ac:dyDescent="0.35">
      <c r="A154" s="48"/>
      <c r="B154" s="72"/>
      <c r="C154" s="5" t="s">
        <v>147</v>
      </c>
      <c r="D154" s="72"/>
      <c r="E154" s="72"/>
      <c r="F154" s="61"/>
      <c r="G154" s="61"/>
      <c r="H154" s="64"/>
      <c r="I154" s="57"/>
    </row>
    <row r="155" spans="1:9" ht="15" customHeight="1" thickTop="1" thickBot="1" x14ac:dyDescent="0.35">
      <c r="A155" s="48"/>
      <c r="B155" s="72"/>
      <c r="C155" s="5" t="s">
        <v>148</v>
      </c>
      <c r="D155" s="72"/>
      <c r="E155" s="72"/>
      <c r="F155" s="61"/>
      <c r="G155" s="61"/>
      <c r="H155" s="64"/>
      <c r="I155" s="57"/>
    </row>
    <row r="156" spans="1:9" ht="15" customHeight="1" thickTop="1" thickBot="1" x14ac:dyDescent="0.35">
      <c r="A156" s="48"/>
      <c r="B156" s="72"/>
      <c r="C156" s="5" t="s">
        <v>149</v>
      </c>
      <c r="D156" s="72"/>
      <c r="E156" s="72"/>
      <c r="F156" s="61"/>
      <c r="G156" s="61"/>
      <c r="H156" s="64"/>
      <c r="I156" s="57"/>
    </row>
    <row r="157" spans="1:9" ht="15" customHeight="1" thickTop="1" thickBot="1" x14ac:dyDescent="0.35">
      <c r="A157" s="48"/>
      <c r="B157" s="72"/>
      <c r="C157" s="5" t="s">
        <v>150</v>
      </c>
      <c r="D157" s="72"/>
      <c r="E157" s="72"/>
      <c r="F157" s="61"/>
      <c r="G157" s="61"/>
      <c r="H157" s="64"/>
      <c r="I157" s="57"/>
    </row>
    <row r="158" spans="1:9" ht="15" customHeight="1" thickTop="1" thickBot="1" x14ac:dyDescent="0.35">
      <c r="A158" s="48"/>
      <c r="B158" s="72"/>
      <c r="C158" s="5" t="s">
        <v>151</v>
      </c>
      <c r="D158" s="72"/>
      <c r="E158" s="72"/>
      <c r="F158" s="61"/>
      <c r="G158" s="61"/>
      <c r="H158" s="64"/>
      <c r="I158" s="57"/>
    </row>
    <row r="159" spans="1:9" ht="15" customHeight="1" thickTop="1" thickBot="1" x14ac:dyDescent="0.35">
      <c r="A159" s="48"/>
      <c r="B159" s="72"/>
      <c r="C159" s="5" t="s">
        <v>152</v>
      </c>
      <c r="D159" s="72"/>
      <c r="E159" s="72"/>
      <c r="F159" s="61"/>
      <c r="G159" s="61"/>
      <c r="H159" s="64"/>
      <c r="I159" s="57"/>
    </row>
    <row r="160" spans="1:9" ht="15" customHeight="1" thickTop="1" thickBot="1" x14ac:dyDescent="0.35">
      <c r="A160" s="48"/>
      <c r="B160" s="72"/>
      <c r="C160" s="5" t="s">
        <v>153</v>
      </c>
      <c r="D160" s="72"/>
      <c r="E160" s="72"/>
      <c r="F160" s="61"/>
      <c r="G160" s="61"/>
      <c r="H160" s="64"/>
      <c r="I160" s="57"/>
    </row>
    <row r="161" spans="1:9" ht="15" customHeight="1" thickTop="1" thickBot="1" x14ac:dyDescent="0.35">
      <c r="A161" s="48"/>
      <c r="B161" s="72"/>
      <c r="C161" s="5" t="s">
        <v>154</v>
      </c>
      <c r="D161" s="72"/>
      <c r="E161" s="72"/>
      <c r="F161" s="61"/>
      <c r="G161" s="61"/>
      <c r="H161" s="64"/>
      <c r="I161" s="57"/>
    </row>
    <row r="162" spans="1:9" ht="54" customHeight="1" thickTop="1" thickBot="1" x14ac:dyDescent="0.35">
      <c r="A162" s="49"/>
      <c r="B162" s="73"/>
      <c r="C162" s="5" t="s">
        <v>155</v>
      </c>
      <c r="D162" s="73"/>
      <c r="E162" s="73"/>
      <c r="F162" s="62"/>
      <c r="G162" s="62"/>
      <c r="H162" s="65"/>
      <c r="I162" s="57"/>
    </row>
    <row r="163" spans="1:9" ht="15" customHeight="1" thickTop="1" thickBot="1" x14ac:dyDescent="0.35">
      <c r="A163" s="3">
        <v>15</v>
      </c>
      <c r="B163" s="59" t="s">
        <v>157</v>
      </c>
      <c r="C163" s="59"/>
      <c r="D163" s="4" t="s">
        <v>13</v>
      </c>
      <c r="E163" s="4">
        <v>1</v>
      </c>
      <c r="F163" s="36">
        <v>7500000</v>
      </c>
      <c r="G163" s="37">
        <f>F163*0.08</f>
        <v>600000</v>
      </c>
      <c r="H163" s="37">
        <f>SUM(F163:G163)*E163</f>
        <v>8100000</v>
      </c>
      <c r="I163" s="57"/>
    </row>
    <row r="164" spans="1:9" ht="15" customHeight="1" thickTop="1" thickBot="1" x14ac:dyDescent="0.35">
      <c r="A164" s="75"/>
      <c r="B164" s="76"/>
      <c r="C164" s="5" t="s">
        <v>156</v>
      </c>
      <c r="D164" s="70"/>
      <c r="E164" s="70"/>
      <c r="F164" s="74"/>
      <c r="G164" s="18"/>
      <c r="H164" s="63"/>
      <c r="I164" s="57"/>
    </row>
    <row r="165" spans="1:9" ht="15" customHeight="1" thickTop="1" thickBot="1" x14ac:dyDescent="0.35">
      <c r="A165" s="75"/>
      <c r="B165" s="76"/>
      <c r="C165" s="5" t="s">
        <v>158</v>
      </c>
      <c r="D165" s="70"/>
      <c r="E165" s="70"/>
      <c r="F165" s="74"/>
      <c r="G165" s="19"/>
      <c r="H165" s="64"/>
      <c r="I165" s="57"/>
    </row>
    <row r="166" spans="1:9" ht="15" customHeight="1" thickTop="1" thickBot="1" x14ac:dyDescent="0.35">
      <c r="A166" s="75"/>
      <c r="B166" s="76"/>
      <c r="C166" s="5" t="s">
        <v>159</v>
      </c>
      <c r="D166" s="70"/>
      <c r="E166" s="70"/>
      <c r="F166" s="74"/>
      <c r="G166" s="19"/>
      <c r="H166" s="64"/>
      <c r="I166" s="57"/>
    </row>
    <row r="167" spans="1:9" ht="15" customHeight="1" thickTop="1" thickBot="1" x14ac:dyDescent="0.35">
      <c r="A167" s="75"/>
      <c r="B167" s="76"/>
      <c r="C167" s="5" t="s">
        <v>160</v>
      </c>
      <c r="D167" s="70"/>
      <c r="E167" s="70"/>
      <c r="F167" s="74"/>
      <c r="G167" s="19"/>
      <c r="H167" s="64"/>
      <c r="I167" s="57"/>
    </row>
    <row r="168" spans="1:9" ht="15" customHeight="1" thickTop="1" thickBot="1" x14ac:dyDescent="0.35">
      <c r="A168" s="75"/>
      <c r="B168" s="76"/>
      <c r="C168" s="5" t="s">
        <v>161</v>
      </c>
      <c r="D168" s="70"/>
      <c r="E168" s="70"/>
      <c r="F168" s="74"/>
      <c r="G168" s="19"/>
      <c r="H168" s="64"/>
      <c r="I168" s="57"/>
    </row>
    <row r="169" spans="1:9" ht="15" customHeight="1" thickTop="1" thickBot="1" x14ac:dyDescent="0.35">
      <c r="A169" s="75"/>
      <c r="B169" s="76"/>
      <c r="C169" s="5" t="s">
        <v>162</v>
      </c>
      <c r="D169" s="70"/>
      <c r="E169" s="70"/>
      <c r="F169" s="74"/>
      <c r="G169" s="19"/>
      <c r="H169" s="64"/>
      <c r="I169" s="57"/>
    </row>
    <row r="170" spans="1:9" ht="15" customHeight="1" thickTop="1" thickBot="1" x14ac:dyDescent="0.35">
      <c r="A170" s="75"/>
      <c r="B170" s="76"/>
      <c r="C170" s="5" t="s">
        <v>163</v>
      </c>
      <c r="D170" s="70"/>
      <c r="E170" s="70"/>
      <c r="F170" s="74"/>
      <c r="G170" s="19"/>
      <c r="H170" s="64"/>
      <c r="I170" s="57"/>
    </row>
    <row r="171" spans="1:9" ht="15" customHeight="1" thickTop="1" thickBot="1" x14ac:dyDescent="0.35">
      <c r="A171" s="3" t="s">
        <v>14</v>
      </c>
      <c r="B171" s="59" t="s">
        <v>15</v>
      </c>
      <c r="C171" s="59"/>
      <c r="D171" s="4"/>
      <c r="E171" s="4"/>
      <c r="F171" s="36"/>
      <c r="G171" s="37"/>
      <c r="H171" s="37">
        <f>SUM(H3:H170)</f>
        <v>311689092.88</v>
      </c>
      <c r="I171" s="57"/>
    </row>
    <row r="172" spans="1:9" ht="16.8" thickTop="1" thickBot="1" x14ac:dyDescent="0.35"/>
  </sheetData>
  <mergeCells count="65">
    <mergeCell ref="D152:D162"/>
    <mergeCell ref="E152:E162"/>
    <mergeCell ref="E61:E71"/>
    <mergeCell ref="B58:C58"/>
    <mergeCell ref="B86:C86"/>
    <mergeCell ref="B83:B85"/>
    <mergeCell ref="B3:C3"/>
    <mergeCell ref="D24:D57"/>
    <mergeCell ref="E24:E57"/>
    <mergeCell ref="B5:B22"/>
    <mergeCell ref="B46:B50"/>
    <mergeCell ref="B51:B56"/>
    <mergeCell ref="B28:B35"/>
    <mergeCell ref="B36:B45"/>
    <mergeCell ref="E127:E139"/>
    <mergeCell ref="A1:H1"/>
    <mergeCell ref="H61:H71"/>
    <mergeCell ref="B100:C100"/>
    <mergeCell ref="F127:F139"/>
    <mergeCell ref="G127:G139"/>
    <mergeCell ref="H127:H139"/>
    <mergeCell ref="D140:D151"/>
    <mergeCell ref="E140:E151"/>
    <mergeCell ref="F140:F151"/>
    <mergeCell ref="G140:G151"/>
    <mergeCell ref="H140:H151"/>
    <mergeCell ref="F24:F57"/>
    <mergeCell ref="F61:F71"/>
    <mergeCell ref="A101:A125"/>
    <mergeCell ref="B23:C23"/>
    <mergeCell ref="B24:B27"/>
    <mergeCell ref="B4:C4"/>
    <mergeCell ref="A24:A57"/>
    <mergeCell ref="A5:A22"/>
    <mergeCell ref="A59:A71"/>
    <mergeCell ref="A87:A99"/>
    <mergeCell ref="A83:A85"/>
    <mergeCell ref="D61:D71"/>
    <mergeCell ref="G152:G162"/>
    <mergeCell ref="H152:H162"/>
    <mergeCell ref="D87:D99"/>
    <mergeCell ref="B171:C171"/>
    <mergeCell ref="B127:B139"/>
    <mergeCell ref="B140:B151"/>
    <mergeCell ref="B152:B162"/>
    <mergeCell ref="B87:B99"/>
    <mergeCell ref="B126:C126"/>
    <mergeCell ref="B101:B125"/>
    <mergeCell ref="E87:E99"/>
    <mergeCell ref="D127:D139"/>
    <mergeCell ref="A164:A170"/>
    <mergeCell ref="B164:B170"/>
    <mergeCell ref="D164:D170"/>
    <mergeCell ref="E164:E170"/>
    <mergeCell ref="B163:C163"/>
    <mergeCell ref="G24:G57"/>
    <mergeCell ref="H24:H57"/>
    <mergeCell ref="B59:B71"/>
    <mergeCell ref="B72:C72"/>
    <mergeCell ref="F87:F99"/>
    <mergeCell ref="G87:G99"/>
    <mergeCell ref="H87:H99"/>
    <mergeCell ref="F164:F170"/>
    <mergeCell ref="H164:H170"/>
    <mergeCell ref="F152:F16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 Thiết bị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BNS HPDQ</dc:creator>
  <cp:lastModifiedBy>Vo Tai</cp:lastModifiedBy>
  <cp:lastPrinted>2026-03-13T11:05:27Z</cp:lastPrinted>
  <dcterms:created xsi:type="dcterms:W3CDTF">2024-12-23T07:03:54Z</dcterms:created>
  <dcterms:modified xsi:type="dcterms:W3CDTF">2026-03-13T11:05:45Z</dcterms:modified>
</cp:coreProperties>
</file>